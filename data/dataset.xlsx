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66925"/>
  <xr:revisionPtr revIDLastSave="11" documentId="11_4AE239A015E5B88AF11C3966F5606CA01A523A5D" xr6:coauthVersionLast="47" xr6:coauthVersionMax="47" xr10:uidLastSave="{F5E2D5B6-0A8B-4D17-A423-DADEC3BFE150}"/>
  <bookViews>
    <workbookView xWindow="0" yWindow="0" windowWidth="0" windowHeight="0" activeTab="3" xr2:uid="{00000000-000D-0000-FFFF-FFFF00000000}"/>
  </bookViews>
  <sheets>
    <sheet name="Importance des variables" sheetId="9" r:id="rId1"/>
    <sheet name="Historique des itérations" sheetId="8" r:id="rId2"/>
    <sheet name="Matrice de confusion" sheetId="7" r:id="rId3"/>
    <sheet name="Lift" sheetId="6" r:id="rId4"/>
    <sheet name="ROC" sheetId="5" r:id="rId5"/>
    <sheet name="Statistiques de seuil" sheetId="4" r:id="rId6"/>
    <sheet name="Mauvaise classification" sheetId="3" r:id="rId7"/>
    <sheet name="Statistiques des évaluations" sheetId="2" r:id="rId8"/>
    <sheet name="Résumé de l’évaluation" sheetId="1" r:id="rId9"/>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6" l="1"/>
  <c r="H4" i="6"/>
  <c r="H5" i="6"/>
  <c r="H6" i="6"/>
  <c r="H7" i="6"/>
  <c r="H8" i="6"/>
  <c r="H9" i="6"/>
  <c r="H10" i="6"/>
  <c r="H11" i="6"/>
  <c r="H12" i="6"/>
  <c r="H13" i="6"/>
  <c r="H14" i="6"/>
  <c r="H15" i="6"/>
  <c r="H16" i="6"/>
  <c r="H17" i="6"/>
  <c r="H18" i="6"/>
  <c r="H19" i="6"/>
  <c r="H20" i="6"/>
  <c r="H21" i="6"/>
  <c r="H2" i="6"/>
  <c r="I2" i="6"/>
</calcChain>
</file>

<file path=xl/sharedStrings.xml><?xml version="1.0" encoding="utf-8"?>
<sst xmlns="http://schemas.openxmlformats.org/spreadsheetml/2006/main" count="212" uniqueCount="89">
  <si>
    <t>Variable</t>
  </si>
  <si>
    <t>Importance</t>
  </si>
  <si>
    <t>Écart-type</t>
  </si>
  <si>
    <t>Demographic Cluster</t>
  </si>
  <si>
    <t>Gift Count 36 Months</t>
  </si>
  <si>
    <t>Age</t>
  </si>
  <si>
    <t>Time Since Last Gift</t>
  </si>
  <si>
    <t>Gift Amount Last</t>
  </si>
  <si>
    <t>Gift Amount Average Card 36 Months</t>
  </si>
  <si>
    <t>Gift Amount Average All Months</t>
  </si>
  <si>
    <t>Median Home Value Region</t>
  </si>
  <si>
    <t>Promotion Count 36 Months</t>
  </si>
  <si>
    <t>Promotion Count 12 Months</t>
  </si>
  <si>
    <t>Gift Count Card All Months</t>
  </si>
  <si>
    <t>Percent Veterans Region</t>
  </si>
  <si>
    <t>Time Since First Gift</t>
  </si>
  <si>
    <t>Gift Count All Months</t>
  </si>
  <si>
    <t>Promotion Count Card All Months</t>
  </si>
  <si>
    <t>Median Income Region</t>
  </si>
  <si>
    <t>Promotion Count All Months</t>
  </si>
  <si>
    <t>Gift Amount Average 36 Months</t>
  </si>
  <si>
    <t>Status Category 96NK</t>
  </si>
  <si>
    <t>Gift Count Card 36 Months</t>
  </si>
  <si>
    <t>Promotion Count Card 12 Months</t>
  </si>
  <si>
    <t>Status Category Star All Months</t>
  </si>
  <si>
    <t>Promotion Count Card 36 Months</t>
  </si>
  <si>
    <t>Gender</t>
  </si>
  <si>
    <t>Home Owner</t>
  </si>
  <si>
    <t>Nombre d’arbres</t>
  </si>
  <si>
    <t>Taux de mauvaise classification</t>
  </si>
  <si>
    <t>Prédit</t>
  </si>
  <si>
    <t>Observées</t>
  </si>
  <si>
    <t>Observations</t>
  </si>
  <si>
    <t>Pourcentage</t>
  </si>
  <si>
    <t>0</t>
  </si>
  <si>
    <t>1</t>
  </si>
  <si>
    <t>Centile</t>
  </si>
  <si>
    <t>Événements</t>
  </si>
  <si>
    <t>Modèle</t>
  </si>
  <si>
    <t>Best</t>
  </si>
  <si>
    <t>Modèle cumulé</t>
  </si>
  <si>
    <t>Best cumulé</t>
  </si>
  <si>
    <t>ROI</t>
  </si>
  <si>
    <t>Seuil</t>
  </si>
  <si>
    <t>Sensibilité</t>
  </si>
  <si>
    <t>1 - Spécificité</t>
  </si>
  <si>
    <t>KS (Youden)</t>
  </si>
  <si>
    <t/>
  </si>
  <si>
    <t>Oui</t>
  </si>
  <si>
    <t>Exactitude</t>
  </si>
  <si>
    <t>Spécificité</t>
  </si>
  <si>
    <t>Taux de faux positifs</t>
  </si>
  <si>
    <t>Taux de faux négatifs</t>
  </si>
  <si>
    <t>Kolmogorov-Smirnov (KS)</t>
  </si>
  <si>
    <t>Taux de fausses découvertes</t>
  </si>
  <si>
    <t>Score F0.5</t>
  </si>
  <si>
    <t>Score F1</t>
  </si>
  <si>
    <t>Taux de mauvaise classification (événement)</t>
  </si>
  <si>
    <t>Réponse</t>
  </si>
  <si>
    <t>Événement</t>
  </si>
  <si>
    <t>Valeur</t>
  </si>
  <si>
    <t>Correct</t>
  </si>
  <si>
    <t>Vrai positif</t>
  </si>
  <si>
    <t>Incorrect</t>
  </si>
  <si>
    <t>Faux négatif</t>
  </si>
  <si>
    <t>Vrai négatif</t>
  </si>
  <si>
    <t>Faux positif</t>
  </si>
  <si>
    <t>Statistique C</t>
  </si>
  <si>
    <t>Lift</t>
  </si>
  <si>
    <t>Lift cumulé</t>
  </si>
  <si>
    <t>% événements cumulés</t>
  </si>
  <si>
    <t>% capturé cumulé</t>
  </si>
  <si>
    <t>Gain</t>
  </si>
  <si>
    <t>Gini</t>
  </si>
  <si>
    <t>Gamma</t>
  </si>
  <si>
    <t>Tau</t>
  </si>
  <si>
    <t>Observations utilisées</t>
  </si>
  <si>
    <t>Non utilisées</t>
  </si>
  <si>
    <t>Courbe</t>
  </si>
  <si>
    <t>Synthèse</t>
  </si>
  <si>
    <t>Matrice de confusion</t>
  </si>
  <si>
    <t>Le graphique de la matrice de confusion affiche le nombre d’observations prédisant chaque niveau de réponse. Un plus grand nombre d’observations où le niveau observé et le niveau prédit sont les mêmes indique un meilleur modèle. Pour ces données, les pourcentages de chaque valeur observée qui sont correctement prédits sont les suivants : 0 - 69,75 % et 1 - 64,77 %.</t>
  </si>
  <si>
    <t>La courbe lift mesure le rapport entre le pourcentage de réponse capturée et le pourcentage de réponse de ligne de base. Ce modèle a un lift de 1,8433 au quantile 5 % ce qui signifie qu’il y a environ 1,84 fois plus d’événements dans ce quantile que prévu de façon aléatoire (5 % du nombre total d’événements).</t>
  </si>
  <si>
    <t>Le lift cumulé mesure le rapport de réponses capturées en pourcentage avec la réponse en pourcentage de la ligne de base, jusqu’à et y compris le quantile indiqué.
Ce modèle a un lift cumulé de 1,7339 dans le quantile 10 % ce qui signifie qu’il y a environ 1,73 fois plus d’événements dans les 2 premiers quantiles que prévu de façon aléatoire (10 % du nombre total d’événements). Etant donné que cette valeur est supérieure à 1, il vaut mieux utiliser votre modèle pour identifier les répondants que pas de modèle du tout.</t>
  </si>
  <si>
    <t>ROC</t>
  </si>
  <si>
    <t>La courbe ROC (Receiver Operator Characteristic) est un graphique de sensibilité (le taux de vrais positifs) par rapport à la 1-spécificité (le taux de faux positifs), qui sont tous deux des mesures de classification basées sur la matrice de confusion. Ces mesures sont calculées à différentes valeurs de seuil. Pour aider à identifier le meilleur seuil à utiliser lors du scoring de vos données, la ligne de référence de seuil KS est tracée à la valeur de 1-spécificité où la plus grande différence entre la sensibilité et la 1-spécificité est observée. La ligne de seuil KS est tracée à la valeur de seuil 0,5 où la valeur de 1-spécificité est 0,302 et la valeur de sensibilité est 0,648.
Les valeurs de seuil vont de 0 à 0,99, inclus, par incréments de 0,01. À chaque valeur de seuil, la classification de la réponse prédite est déterminée par le fait que la probabilité prédite de la réponse Target Gift Flag étant 1 est supérieure ou égale à la valeur de seuil. Lorsque la probabilité prédite de l’événement est supérieure ou égale à la valeur de seuil, la classification prédite est 1, sinon c’est NOT 1.</t>
  </si>
  <si>
    <t>Le graphique de seuil montre comment les différentes statistiques d’évaluation de modèle changent à mesure que la valeur de seuil de prédiction change. Les statistiques d’évaluation du modèle sont basées sur l’événement sélectionné pour le modèle par rapport aux non-événements. Vous pouvez déplacer de manière interactive la ligne de seuil pour représenter différentes valeurs de seuil de prédiction. Au fur et à mesure que vous déplacez la ligne de seuil, les statistiques d’évaluation du modèle sont mises à jour. Cela vous permet de choisir un seuil qui représente le mieux votre problème particulier et votre objectif métier.
Lorsque la statistique d’exactitude est activée, sa valeur pour le seuil sélectionné est toujours affichée.</t>
  </si>
  <si>
    <t>Mauvaise classification</t>
  </si>
  <si>
    <t>Le graphique de mauvaise classification est une représentation visuelle de l’exactitude de la prédiction à la valeur de seuil spécifiée, 0,50. Le graphique affiche le nombre de vrais positifs pour les événements correctement classés, de faux positifs pour les événements NOT qui ne sont pas classés comme événements, de faux négatifs pour les événements classés comme événements NOT et de vrais négatifs pour les événements NOT classés comme événements NOT. Les vrais négatifs incluent les classifications d’événements NOT qui prédisent un niveau différent de celui observé, tant que les deux sont des événements NOT.
La classification de la réponse prédite est déterminée par le fait que la probabilité prédite du niveau 1 de la réponse Target Gift Flag est supérieure ou égale à la valeur de seuil. Lorsqu’elle est supérieure ou égale à la valeur de seuil, la classification prédite est un événement, sinon c’est un événement NOT.
Pour ces données, pour la barre correspondant au niveau d’événement de Target Gift Flag, 1, le segment de la barre coloré comme “Correct” correspond aux vrais positifs.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</si>
</sst>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000"/>
    <numFmt numFmtId="167" formatCode="0.000"/>
    <numFmt numFmtId="168" formatCode="#,##0.00%;\(#,##0.00%\)"/>
  </numFmts>
  <fonts count="2">
    <font>
      <sz val="11"/>
      <color indexed="8"/>
      <name val="Calibri"/>
      <family val="2"/>
      <scheme val="minor"/>
    </font>
    <font>
      <sz val="11"/>
      <color rgb="FFFFFFFF"/>
      <name val="Calibri"/>
      <family val="2"/>
      <scheme val="minor"/>
    </font>
  </fonts>
  <fills count="3">
    <fill>
      <patternFill patternType="none"/>
    </fill>
    <fill>
      <patternFill patternType="gray125"/>
    </fill>
    <fill>
      <patternFill patternType="solid">
        <fgColor theme="4" tint="0.39997558519241921"/>
        <bgColor indexed="65"/>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3" fontId="0" fillId="0" borderId="0" xfId="0" applyNumberFormat="1">
      <alignment vertical="center"/>
    </xf>
    <xf numFmtId="0" fontId="1" fillId="2" borderId="0" xfId="0" applyFont="1" applyFill="1" applyAlignment="1"/>
    <xf numFmtId="164" fontId="0" fillId="0" borderId="0" xfId="0" applyNumberFormat="1" applyAlignment="1"/>
    <xf numFmtId="3" fontId="0" fillId="0" borderId="0" xfId="0" applyNumberFormat="1" applyAlignment="1"/>
    <xf numFmtId="168" fontId="0" fillId="0" borderId="0" xfId="0" applyNumberFormat="1" applyAlignment="1"/>
    <xf numFmtId="2" fontId="0" fillId="0" borderId="0" xfId="0" applyNumberFormat="1" applyAlignment="1"/>
    <xf numFmtId="166" fontId="0" fillId="0" borderId="0" xfId="0" applyNumberFormat="1" applyAlignment="1"/>
    <xf numFmtId="167" fontId="0" fillId="0" borderId="0" xfId="0" applyNumberFormat="1" applyAlignment="1"/>
    <xf numFmtId="165"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637CEF"/>
              </a:solidFill>
              <a:round/>
            </a:ln>
            <a:effectLst/>
          </c:spPr>
          <c:marker>
            <c:symbol val="none"/>
          </c:marker>
          <c:cat>
            <c:numRef>
              <c:f>Lift!A2:A21</c:f>
              <c:numCache>
                <c:formatCode>0.00</c:formatCode>
                <c:ptCount val="20"/>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pt idx="19">
                  <c:v>100</c:v>
                </c:pt>
              </c:numCache>
            </c:numRef>
          </c:cat>
          <c:val>
            <c:numRef>
              <c:f>Lift!$H$2:$H$21</c:f>
              <c:numCache>
                <c:formatCode>General</c:formatCode>
                <c:ptCount val="20"/>
                <c:pt idx="0">
                  <c:v>4075.3999999999992</c:v>
                </c:pt>
                <c:pt idx="1">
                  <c:v>6401.7999999999975</c:v>
                </c:pt>
                <c:pt idx="2">
                  <c:v>7867.199999999998</c:v>
                </c:pt>
                <c:pt idx="3">
                  <c:v>8942.5999999999931</c:v>
                </c:pt>
                <c:pt idx="4">
                  <c:v>8760.9999999999982</c:v>
                </c:pt>
                <c:pt idx="5">
                  <c:v>8447.4</c:v>
                </c:pt>
                <c:pt idx="6">
                  <c:v>7308.8000000000056</c:v>
                </c:pt>
                <c:pt idx="7">
                  <c:v>5216.1999999999944</c:v>
                </c:pt>
                <c:pt idx="8">
                  <c:v>3084.5999999999972</c:v>
                </c:pt>
                <c:pt idx="9">
                  <c:v>406.99999999998261</c:v>
                </c:pt>
                <c:pt idx="10">
                  <c:v>-2789.6000000000181</c:v>
                </c:pt>
                <c:pt idx="11">
                  <c:v>-6337.2000000000271</c:v>
                </c:pt>
                <c:pt idx="12">
                  <c:v>-10247.800000000014</c:v>
                </c:pt>
                <c:pt idx="13">
                  <c:v>-14590.400000000031</c:v>
                </c:pt>
                <c:pt idx="14">
                  <c:v>-19074.000000000018</c:v>
                </c:pt>
                <c:pt idx="15">
                  <c:v>-24118.600000000017</c:v>
                </c:pt>
                <c:pt idx="16">
                  <c:v>-30015.20000000003</c:v>
                </c:pt>
                <c:pt idx="17">
                  <c:v>-36796.800000000032</c:v>
                </c:pt>
                <c:pt idx="18">
                  <c:v>-44367.400000000016</c:v>
                </c:pt>
                <c:pt idx="19">
                  <c:v>-53273</c:v>
                </c:pt>
              </c:numCache>
            </c:numRef>
          </c:val>
          <c:smooth val="0"/>
          <c:extLst>
            <c:ext xmlns:c16="http://schemas.microsoft.com/office/drawing/2014/chart" uri="{C3380CC4-5D6E-409C-BE32-E72D297353CC}">
              <c16:uniqueId val="{0000002B-AC67-4656-89F7-E0C77637B07D}"/>
            </c:ext>
          </c:extLst>
        </c:ser>
        <c:dLbls>
          <c:showLegendKey val="0"/>
          <c:showVal val="0"/>
          <c:showCatName val="0"/>
          <c:showSerName val="0"/>
          <c:showPercent val="0"/>
          <c:showBubbleSize val="0"/>
        </c:dLbls>
        <c:smooth val="0"/>
        <c:axId val="885649928"/>
        <c:axId val="885651976"/>
      </c:lineChart>
      <c:catAx>
        <c:axId val="885649928"/>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51976"/>
        <c:crosses val="autoZero"/>
        <c:auto val="1"/>
        <c:lblAlgn val="ctr"/>
        <c:lblOffset val="100"/>
        <c:noMultiLvlLbl val="0"/>
      </c:catAx>
      <c:valAx>
        <c:axId val="885651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4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171450</xdr:colOff>
      <xdr:row>2</xdr:row>
      <xdr:rowOff>57150</xdr:rowOff>
    </xdr:from>
    <xdr:to>
      <xdr:col>11</xdr:col>
      <xdr:colOff>476250</xdr:colOff>
      <xdr:row>16</xdr:row>
      <xdr:rowOff>133350</xdr:rowOff>
    </xdr:to>
    <xdr:graphicFrame macro="">
      <xdr:nvGraphicFramePr>
        <xdr:cNvPr id="2" name="Graphique 1">
          <a:extLst>
            <a:ext uri="{FF2B5EF4-FFF2-40B4-BE49-F238E27FC236}">
              <a16:creationId xmlns:a16="http://schemas.microsoft.com/office/drawing/2014/main" id="{31F323FE-8B06-98F5-89F9-32F2721F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workbookViewId="0"/>
  </sheetViews>
  <sheetFormatPr defaultRowHeight="15"/>
  <cols>
    <col min="1" max="1" width="8.5703125" bestFit="1" customWidth="1"/>
    <col min="2" max="2" width="11.5703125" bestFit="1" customWidth="1"/>
    <col min="3" max="3" width="10.5703125" bestFit="1" customWidth="1"/>
  </cols>
  <sheetData>
    <row r="1" spans="1:3">
      <c r="A1" s="2" t="s">
        <v>0</v>
      </c>
      <c r="B1" s="2" t="s">
        <v>1</v>
      </c>
      <c r="C1" s="2" t="s">
        <v>2</v>
      </c>
    </row>
    <row r="2" spans="1:3">
      <c r="A2" t="s">
        <v>3</v>
      </c>
      <c r="B2" s="3">
        <v>115.45057056012149</v>
      </c>
      <c r="C2" s="3">
        <v>80.387546167722959</v>
      </c>
    </row>
    <row r="3" spans="1:3">
      <c r="A3" t="s">
        <v>4</v>
      </c>
      <c r="B3" s="3">
        <v>42.358464297250954</v>
      </c>
      <c r="C3" s="3">
        <v>89.719944118986263</v>
      </c>
    </row>
    <row r="4" spans="1:3">
      <c r="A4" t="s">
        <v>5</v>
      </c>
      <c r="B4" s="3">
        <v>33.628649285130251</v>
      </c>
      <c r="C4" s="3">
        <v>23.505266336763594</v>
      </c>
    </row>
    <row r="5" spans="1:3">
      <c r="A5" t="s">
        <v>6</v>
      </c>
      <c r="B5" s="3">
        <v>32.946056461176831</v>
      </c>
      <c r="C5" s="3">
        <v>37.516428768220408</v>
      </c>
    </row>
    <row r="6" spans="1:3">
      <c r="A6" t="s">
        <v>7</v>
      </c>
      <c r="B6" s="3">
        <v>31.244874639355622</v>
      </c>
      <c r="C6" s="3">
        <v>66.523020399629658</v>
      </c>
    </row>
    <row r="7" spans="1:3">
      <c r="A7" t="s">
        <v>8</v>
      </c>
      <c r="B7" s="3">
        <v>28.79963854749596</v>
      </c>
      <c r="C7" s="3">
        <v>28.191910068396336</v>
      </c>
    </row>
    <row r="8" spans="1:3">
      <c r="A8" t="s">
        <v>9</v>
      </c>
      <c r="B8" s="3">
        <v>18.76885287863373</v>
      </c>
      <c r="C8" s="3">
        <v>23.915693794714826</v>
      </c>
    </row>
    <row r="9" spans="1:3">
      <c r="A9" t="s">
        <v>10</v>
      </c>
      <c r="B9" s="3">
        <v>17.326077501644892</v>
      </c>
      <c r="C9" s="3">
        <v>20.044774540302296</v>
      </c>
    </row>
    <row r="10" spans="1:3">
      <c r="A10" t="s">
        <v>11</v>
      </c>
      <c r="B10" s="3">
        <v>13.297202816972328</v>
      </c>
      <c r="C10" s="3">
        <v>17.328380201109013</v>
      </c>
    </row>
    <row r="11" spans="1:3">
      <c r="A11" t="s">
        <v>12</v>
      </c>
      <c r="B11" s="3">
        <v>13.171782992470568</v>
      </c>
      <c r="C11" s="3">
        <v>16.826416208199511</v>
      </c>
    </row>
    <row r="12" spans="1:3">
      <c r="A12" t="s">
        <v>13</v>
      </c>
      <c r="B12" s="3">
        <v>13.108090600610858</v>
      </c>
      <c r="C12" s="3">
        <v>23.265088694376153</v>
      </c>
    </row>
    <row r="13" spans="1:3">
      <c r="A13" t="s">
        <v>14</v>
      </c>
      <c r="B13" s="3">
        <v>12.264251442286593</v>
      </c>
      <c r="C13" s="3">
        <v>18.272342244998281</v>
      </c>
    </row>
    <row r="14" spans="1:3">
      <c r="A14" t="s">
        <v>15</v>
      </c>
      <c r="B14" s="3">
        <v>10.288093515210479</v>
      </c>
      <c r="C14" s="3">
        <v>13.947632460268201</v>
      </c>
    </row>
    <row r="15" spans="1:3">
      <c r="A15" t="s">
        <v>16</v>
      </c>
      <c r="B15" s="3">
        <v>9.2757789004962135</v>
      </c>
      <c r="C15" s="3">
        <v>18.672688902335295</v>
      </c>
    </row>
    <row r="16" spans="1:3">
      <c r="A16" t="s">
        <v>17</v>
      </c>
      <c r="B16" s="3">
        <v>9.1399644968467584</v>
      </c>
      <c r="C16" s="3">
        <v>14.046902878377054</v>
      </c>
    </row>
    <row r="17" spans="1:3">
      <c r="A17" t="s">
        <v>18</v>
      </c>
      <c r="B17" s="3">
        <v>9.0248348272247103</v>
      </c>
      <c r="C17" s="3">
        <v>14.554777093861423</v>
      </c>
    </row>
    <row r="18" spans="1:3">
      <c r="A18" t="s">
        <v>19</v>
      </c>
      <c r="B18" s="3">
        <v>7.7111680858660829</v>
      </c>
      <c r="C18" s="3">
        <v>13.291692947921533</v>
      </c>
    </row>
    <row r="19" spans="1:3">
      <c r="A19" t="s">
        <v>20</v>
      </c>
      <c r="B19" s="3">
        <v>7.4249582773602967</v>
      </c>
      <c r="C19" s="3">
        <v>13.324803827623359</v>
      </c>
    </row>
    <row r="20" spans="1:3">
      <c r="A20" t="s">
        <v>21</v>
      </c>
      <c r="B20" s="3">
        <v>7.2348936887212076</v>
      </c>
      <c r="C20" s="3">
        <v>12.284483246679351</v>
      </c>
    </row>
    <row r="21" spans="1:3">
      <c r="A21" t="s">
        <v>22</v>
      </c>
      <c r="B21" s="3">
        <v>6.1819793409726449</v>
      </c>
      <c r="C21" s="3">
        <v>10.890052372824922</v>
      </c>
    </row>
    <row r="22" spans="1:3">
      <c r="A22" t="s">
        <v>23</v>
      </c>
      <c r="B22" s="3">
        <v>6.006028654184167</v>
      </c>
      <c r="C22" s="3">
        <v>11.949972068154896</v>
      </c>
    </row>
    <row r="23" spans="1:3">
      <c r="A23" t="s">
        <v>24</v>
      </c>
      <c r="B23" s="3">
        <v>5.08274843593132</v>
      </c>
      <c r="C23" s="3">
        <v>15.300235273065217</v>
      </c>
    </row>
    <row r="24" spans="1:3">
      <c r="A24" t="s">
        <v>25</v>
      </c>
      <c r="B24" s="3">
        <v>3.8849072074831583</v>
      </c>
      <c r="C24" s="3">
        <v>9.031835507396643</v>
      </c>
    </row>
    <row r="25" spans="1:3">
      <c r="A25" t="s">
        <v>26</v>
      </c>
      <c r="B25" s="3">
        <v>1.6891303149512484</v>
      </c>
      <c r="C25" s="3">
        <v>5.9915268386374558</v>
      </c>
    </row>
    <row r="26" spans="1:3">
      <c r="A26" t="s">
        <v>27</v>
      </c>
      <c r="B26" s="3">
        <v>0.3433385571294274</v>
      </c>
      <c r="C26" s="3">
        <v>2.403369899905992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1"/>
  <sheetViews>
    <sheetView workbookViewId="0"/>
  </sheetViews>
  <sheetFormatPr defaultRowHeight="15"/>
  <cols>
    <col min="1" max="1" width="16.5703125" bestFit="1" customWidth="1"/>
    <col min="2" max="2" width="30.28515625" bestFit="1" customWidth="1"/>
  </cols>
  <sheetData>
    <row r="1" spans="1:2">
      <c r="A1" s="2" t="s">
        <v>28</v>
      </c>
      <c r="B1" s="2" t="s">
        <v>29</v>
      </c>
    </row>
    <row r="2" spans="1:2">
      <c r="A2" s="4">
        <v>1</v>
      </c>
      <c r="B2" s="3">
        <v>0.41307041090232999</v>
      </c>
    </row>
    <row r="3" spans="1:2">
      <c r="A3" s="4">
        <v>2</v>
      </c>
      <c r="B3" s="3">
        <v>0.40233326450547002</v>
      </c>
    </row>
    <row r="4" spans="1:2">
      <c r="A4" s="4">
        <v>3</v>
      </c>
      <c r="B4" s="3">
        <v>0.39748090026843003</v>
      </c>
    </row>
    <row r="5" spans="1:2">
      <c r="A5" s="4">
        <v>4</v>
      </c>
      <c r="B5" s="3">
        <v>0.39510633904605003</v>
      </c>
    </row>
    <row r="6" spans="1:2">
      <c r="A6" s="4">
        <v>5</v>
      </c>
      <c r="B6" s="3">
        <v>0.38922155688623</v>
      </c>
    </row>
    <row r="7" spans="1:2">
      <c r="A7" s="4">
        <v>6</v>
      </c>
      <c r="B7" s="3">
        <v>0.38818913896344998</v>
      </c>
    </row>
    <row r="8" spans="1:2">
      <c r="A8" s="4">
        <v>7</v>
      </c>
      <c r="B8" s="3">
        <v>0.38798265537889998</v>
      </c>
    </row>
    <row r="9" spans="1:2">
      <c r="A9" s="4">
        <v>8</v>
      </c>
      <c r="B9" s="3">
        <v>0.38529836877967999</v>
      </c>
    </row>
    <row r="10" spans="1:2">
      <c r="A10" s="4">
        <v>9</v>
      </c>
      <c r="B10" s="3">
        <v>0.37951682841214002</v>
      </c>
    </row>
    <row r="11" spans="1:2">
      <c r="A11" s="4">
        <v>10</v>
      </c>
      <c r="B11" s="3">
        <v>0.37765847615115</v>
      </c>
    </row>
    <row r="12" spans="1:2">
      <c r="A12" s="4">
        <v>11</v>
      </c>
      <c r="B12" s="3">
        <v>0.37714226718976002</v>
      </c>
    </row>
    <row r="13" spans="1:2">
      <c r="A13" s="4">
        <v>12</v>
      </c>
      <c r="B13" s="3">
        <v>0.37549039851332</v>
      </c>
    </row>
    <row r="14" spans="1:2">
      <c r="A14" s="4">
        <v>13</v>
      </c>
      <c r="B14" s="3">
        <v>0.37549039851332</v>
      </c>
    </row>
    <row r="15" spans="1:2">
      <c r="A15" s="4">
        <v>14</v>
      </c>
      <c r="B15" s="3">
        <v>0.37404501342142998</v>
      </c>
    </row>
    <row r="16" spans="1:2">
      <c r="A16" s="4">
        <v>15</v>
      </c>
      <c r="B16" s="3">
        <v>0.37280611191410001</v>
      </c>
    </row>
    <row r="17" spans="1:2">
      <c r="A17" s="4">
        <v>16</v>
      </c>
      <c r="B17" s="3">
        <v>0.37125748502993999</v>
      </c>
    </row>
    <row r="18" spans="1:2">
      <c r="A18" s="4">
        <v>17</v>
      </c>
      <c r="B18" s="3">
        <v>0.36888292380755999</v>
      </c>
    </row>
    <row r="19" spans="1:2">
      <c r="A19" s="4">
        <v>18</v>
      </c>
      <c r="B19" s="3">
        <v>0.36661160437745</v>
      </c>
    </row>
    <row r="20" spans="1:2">
      <c r="A20" s="4">
        <v>19</v>
      </c>
      <c r="B20" s="3">
        <v>0.36403055957051</v>
      </c>
    </row>
    <row r="21" spans="1:2">
      <c r="A21" s="4">
        <v>20</v>
      </c>
      <c r="B21" s="3">
        <v>0.36423704315506999</v>
      </c>
    </row>
    <row r="22" spans="1:2">
      <c r="A22" s="4">
        <v>21</v>
      </c>
      <c r="B22" s="3">
        <v>0.36392731777824</v>
      </c>
    </row>
    <row r="23" spans="1:2">
      <c r="A23" s="4">
        <v>22</v>
      </c>
      <c r="B23" s="3">
        <v>0.36144951476358</v>
      </c>
    </row>
    <row r="24" spans="1:2">
      <c r="A24" s="4">
        <v>23</v>
      </c>
      <c r="B24" s="3">
        <v>0.36031385504851998</v>
      </c>
    </row>
    <row r="25" spans="1:2">
      <c r="A25" s="4">
        <v>24</v>
      </c>
      <c r="B25" s="3">
        <v>0.35835226099525003</v>
      </c>
    </row>
    <row r="26" spans="1:2">
      <c r="A26" s="4">
        <v>25</v>
      </c>
      <c r="B26" s="3">
        <v>0.35680363411109001</v>
      </c>
    </row>
    <row r="27" spans="1:2">
      <c r="A27" s="4">
        <v>26</v>
      </c>
      <c r="B27" s="3">
        <v>0.35690687590337</v>
      </c>
    </row>
    <row r="28" spans="1:2">
      <c r="A28" s="4">
        <v>27</v>
      </c>
      <c r="B28" s="3">
        <v>0.35690687590337</v>
      </c>
    </row>
    <row r="29" spans="1:2">
      <c r="A29" s="4">
        <v>28</v>
      </c>
      <c r="B29" s="3">
        <v>0.35391286392732002</v>
      </c>
    </row>
    <row r="30" spans="1:2">
      <c r="A30" s="4">
        <v>29</v>
      </c>
      <c r="B30" s="3">
        <v>0.35267396241998999</v>
      </c>
    </row>
    <row r="31" spans="1:2">
      <c r="A31" s="4">
        <v>30</v>
      </c>
      <c r="B31" s="3">
        <v>0.35133181912037997</v>
      </c>
    </row>
    <row r="32" spans="1:2">
      <c r="A32" s="4">
        <v>31</v>
      </c>
      <c r="B32" s="3">
        <v>0.34937022506711002</v>
      </c>
    </row>
    <row r="33" spans="1:2">
      <c r="A33" s="4">
        <v>32</v>
      </c>
      <c r="B33" s="3">
        <v>0.34998967582077001</v>
      </c>
    </row>
    <row r="34" spans="1:2">
      <c r="A34" s="4">
        <v>33</v>
      </c>
      <c r="B34" s="3">
        <v>0.34627297129877999</v>
      </c>
    </row>
    <row r="35" spans="1:2">
      <c r="A35" s="4">
        <v>34</v>
      </c>
      <c r="B35" s="3">
        <v>0.34493082799917002</v>
      </c>
    </row>
    <row r="36" spans="1:2">
      <c r="A36" s="4">
        <v>35</v>
      </c>
      <c r="B36" s="3">
        <v>0.34193681602312997</v>
      </c>
    </row>
    <row r="37" spans="1:2">
      <c r="A37" s="4">
        <v>36</v>
      </c>
      <c r="B37" s="3">
        <v>0.34379516828411999</v>
      </c>
    </row>
    <row r="38" spans="1:2">
      <c r="A38" s="4">
        <v>37</v>
      </c>
      <c r="B38" s="3">
        <v>0.34183357423084998</v>
      </c>
    </row>
    <row r="39" spans="1:2">
      <c r="A39" s="4">
        <v>38</v>
      </c>
      <c r="B39" s="3">
        <v>0.34018170555441002</v>
      </c>
    </row>
    <row r="40" spans="1:2">
      <c r="A40" s="4">
        <v>39</v>
      </c>
      <c r="B40" s="3">
        <v>0.34080115630807001</v>
      </c>
    </row>
    <row r="41" spans="1:2">
      <c r="A41" s="4">
        <v>40</v>
      </c>
      <c r="B41" s="3">
        <v>0.33852983687797</v>
      </c>
    </row>
    <row r="42" spans="1:2">
      <c r="A42" s="4">
        <v>41</v>
      </c>
      <c r="B42" s="3">
        <v>0.33605203386331001</v>
      </c>
    </row>
    <row r="43" spans="1:2">
      <c r="A43" s="4">
        <v>42</v>
      </c>
      <c r="B43" s="3">
        <v>0.33419368160231</v>
      </c>
    </row>
    <row r="44" spans="1:2">
      <c r="A44" s="4">
        <v>43</v>
      </c>
      <c r="B44" s="3">
        <v>0.33419368160231</v>
      </c>
    </row>
    <row r="45" spans="1:2">
      <c r="A45" s="4">
        <v>44</v>
      </c>
      <c r="B45" s="3">
        <v>0.33326450547182002</v>
      </c>
    </row>
    <row r="46" spans="1:2">
      <c r="A46" s="4">
        <v>45</v>
      </c>
      <c r="B46" s="3">
        <v>0.33212884575675999</v>
      </c>
    </row>
    <row r="47" spans="1:2">
      <c r="A47" s="4">
        <v>46</v>
      </c>
      <c r="B47" s="3">
        <v>0.33295478009497997</v>
      </c>
    </row>
    <row r="48" spans="1:2">
      <c r="A48" s="4">
        <v>47</v>
      </c>
      <c r="B48" s="3">
        <v>0.33212884575675999</v>
      </c>
    </row>
    <row r="49" spans="1:2">
      <c r="A49" s="4">
        <v>48</v>
      </c>
      <c r="B49" s="3">
        <v>0.33212884575675999</v>
      </c>
    </row>
    <row r="50" spans="1:2">
      <c r="A50" s="4">
        <v>49</v>
      </c>
      <c r="B50" s="3">
        <v>0.32985752632665999</v>
      </c>
    </row>
    <row r="51" spans="1:2">
      <c r="A51" s="4">
        <v>50</v>
      </c>
      <c r="B51" s="3">
        <v>0.32737972331199999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5"/>
  <cols>
    <col min="1" max="1" width="6.42578125" bestFit="1" customWidth="1"/>
    <col min="2" max="2" width="10.7109375" bestFit="1" customWidth="1"/>
    <col min="3" max="3" width="13.140625" bestFit="1" customWidth="1"/>
    <col min="4" max="4" width="12.5703125" bestFit="1" customWidth="1"/>
  </cols>
  <sheetData>
    <row r="1" spans="1:4">
      <c r="A1" s="2" t="s">
        <v>30</v>
      </c>
      <c r="B1" s="2" t="s">
        <v>31</v>
      </c>
      <c r="C1" s="2" t="s">
        <v>32</v>
      </c>
      <c r="D1" s="2" t="s">
        <v>33</v>
      </c>
    </row>
    <row r="2" spans="1:4">
      <c r="A2" t="s">
        <v>34</v>
      </c>
      <c r="B2" t="s">
        <v>34</v>
      </c>
      <c r="C2" s="4">
        <v>37158</v>
      </c>
      <c r="D2" s="5">
        <v>0.69750154862688418</v>
      </c>
    </row>
    <row r="3" spans="1:4">
      <c r="A3" t="s">
        <v>35</v>
      </c>
      <c r="B3" t="s">
        <v>34</v>
      </c>
      <c r="C3" s="4">
        <v>16115</v>
      </c>
      <c r="D3" s="5">
        <v>0.30249845137311582</v>
      </c>
    </row>
    <row r="4" spans="1:4">
      <c r="A4" t="s">
        <v>34</v>
      </c>
      <c r="B4" t="s">
        <v>35</v>
      </c>
      <c r="C4" s="4">
        <v>18766</v>
      </c>
      <c r="D4" s="5">
        <v>0.35226099525087756</v>
      </c>
    </row>
    <row r="5" spans="1:4">
      <c r="A5" t="s">
        <v>35</v>
      </c>
      <c r="B5" t="s">
        <v>35</v>
      </c>
      <c r="C5" s="4">
        <v>34507</v>
      </c>
      <c r="D5" s="5">
        <v>0.64773900474912249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tabSelected="1" workbookViewId="0">
      <selection activeCell="H2" sqref="H2:H21"/>
    </sheetView>
  </sheetViews>
  <sheetFormatPr defaultRowHeight="15"/>
  <cols>
    <col min="1" max="1" width="7.42578125" bestFit="1" customWidth="1"/>
    <col min="2" max="2" width="13.140625" bestFit="1" customWidth="1"/>
    <col min="3" max="3" width="12.42578125" bestFit="1" customWidth="1"/>
    <col min="4" max="4" width="7.7109375" bestFit="1" customWidth="1"/>
    <col min="5" max="5" width="5.140625" bestFit="1" customWidth="1"/>
    <col min="6" max="6" width="15" bestFit="1" customWidth="1"/>
    <col min="7" max="7" width="12.42578125" bestFit="1" customWidth="1"/>
  </cols>
  <sheetData>
    <row r="1" spans="1:9">
      <c r="A1" s="2" t="s">
        <v>36</v>
      </c>
      <c r="B1" s="2" t="s">
        <v>32</v>
      </c>
      <c r="C1" s="2" t="s">
        <v>37</v>
      </c>
      <c r="D1" s="2" t="s">
        <v>38</v>
      </c>
      <c r="E1" s="2" t="s">
        <v>39</v>
      </c>
      <c r="F1" s="2" t="s">
        <v>40</v>
      </c>
      <c r="G1" s="2" t="s">
        <v>41</v>
      </c>
      <c r="H1" t="s">
        <v>42</v>
      </c>
    </row>
    <row r="2" spans="1:9">
      <c r="A2" s="6">
        <v>5</v>
      </c>
      <c r="B2" s="4">
        <v>5328</v>
      </c>
      <c r="C2" s="4">
        <v>4910</v>
      </c>
      <c r="D2" s="7">
        <v>1.8433352730276125</v>
      </c>
      <c r="E2" s="7">
        <v>2.0002627972894338</v>
      </c>
      <c r="F2" s="7">
        <v>1.8433352730276125</v>
      </c>
      <c r="G2" s="7">
        <v>2.0002627972894338</v>
      </c>
      <c r="H2">
        <f>$I$2*(A2/100)*(-2+3*F2*0.5)</f>
        <v>4075.3999999999992</v>
      </c>
      <c r="I2" s="1">
        <f>SUM(B2:B21)</f>
        <v>106546</v>
      </c>
    </row>
    <row r="3" spans="1:9">
      <c r="A3" s="6">
        <v>10</v>
      </c>
      <c r="B3" s="4">
        <v>5328</v>
      </c>
      <c r="C3" s="4">
        <v>4327</v>
      </c>
      <c r="D3" s="7">
        <v>1.6244626733992829</v>
      </c>
      <c r="E3" s="7">
        <v>2.0002627972894338</v>
      </c>
      <c r="F3" s="7">
        <v>1.7338989732134475</v>
      </c>
      <c r="G3" s="7">
        <v>2.0002627972894338</v>
      </c>
      <c r="H3">
        <f t="shared" ref="H3:H21" si="0">$I$2*(A3/100)*(-2+3*F3*0.5)</f>
        <v>6401.7999999999975</v>
      </c>
    </row>
    <row r="4" spans="1:9">
      <c r="A4" s="6">
        <v>15</v>
      </c>
      <c r="B4" s="4">
        <v>5328</v>
      </c>
      <c r="C4" s="4">
        <v>4040</v>
      </c>
      <c r="D4" s="7">
        <v>1.5167157847314774</v>
      </c>
      <c r="E4" s="7">
        <v>2.0002627972894338</v>
      </c>
      <c r="F4" s="7">
        <v>1.6615045770527908</v>
      </c>
      <c r="G4" s="7">
        <v>2.0002627972894333</v>
      </c>
      <c r="H4">
        <f t="shared" si="0"/>
        <v>7867.199999999998</v>
      </c>
    </row>
    <row r="5" spans="1:9">
      <c r="A5" s="6">
        <v>20</v>
      </c>
      <c r="B5" s="4">
        <v>5328</v>
      </c>
      <c r="C5" s="4">
        <v>3910</v>
      </c>
      <c r="D5" s="7">
        <v>1.4679105738366527</v>
      </c>
      <c r="E5" s="7">
        <v>2.0002627972894338</v>
      </c>
      <c r="F5" s="7">
        <v>1.6131060762487563</v>
      </c>
      <c r="G5" s="7">
        <v>2.0002627972894338</v>
      </c>
      <c r="H5">
        <f t="shared" si="0"/>
        <v>8942.5999999999931</v>
      </c>
    </row>
    <row r="6" spans="1:9">
      <c r="A6" s="6">
        <v>25</v>
      </c>
      <c r="B6" s="4">
        <v>5328</v>
      </c>
      <c r="C6" s="4">
        <v>3491</v>
      </c>
      <c r="D6" s="7">
        <v>1.3106076248756404</v>
      </c>
      <c r="E6" s="7">
        <v>2.0002627972894338</v>
      </c>
      <c r="F6" s="7">
        <v>1.5526063859741333</v>
      </c>
      <c r="G6" s="7">
        <v>2.0002627972894338</v>
      </c>
      <c r="H6">
        <f t="shared" si="0"/>
        <v>8760.9999999999982</v>
      </c>
    </row>
    <row r="7" spans="1:9">
      <c r="A7" s="6">
        <v>30</v>
      </c>
      <c r="B7" s="4">
        <v>5328</v>
      </c>
      <c r="C7" s="4">
        <v>3447</v>
      </c>
      <c r="D7" s="7">
        <v>1.2940889381112384</v>
      </c>
      <c r="E7" s="7">
        <v>2.0002627972894338</v>
      </c>
      <c r="F7" s="7">
        <v>1.5095201446636508</v>
      </c>
      <c r="G7" s="7">
        <v>2.0002627972894338</v>
      </c>
      <c r="H7">
        <f t="shared" si="0"/>
        <v>8447.4</v>
      </c>
    </row>
    <row r="8" spans="1:9">
      <c r="A8" s="6">
        <v>35</v>
      </c>
      <c r="B8" s="4">
        <v>5328</v>
      </c>
      <c r="C8" s="4">
        <v>3172</v>
      </c>
      <c r="D8" s="7">
        <v>1.1908471458337244</v>
      </c>
      <c r="E8" s="7">
        <v>2.0002627972894338</v>
      </c>
      <c r="F8" s="7">
        <v>1.46399543054509</v>
      </c>
      <c r="G8" s="7">
        <v>2.0002627972894338</v>
      </c>
      <c r="H8">
        <f t="shared" si="0"/>
        <v>7308.8000000000056</v>
      </c>
    </row>
    <row r="9" spans="1:9">
      <c r="A9" s="6">
        <v>40</v>
      </c>
      <c r="B9" s="4">
        <v>5328</v>
      </c>
      <c r="C9" s="4">
        <v>2854</v>
      </c>
      <c r="D9" s="7">
        <v>1.0714620914909991</v>
      </c>
      <c r="E9" s="7">
        <v>2.0002627972894338</v>
      </c>
      <c r="F9" s="7">
        <v>1.4149287631633285</v>
      </c>
      <c r="G9" s="7">
        <v>2.0002627972894338</v>
      </c>
      <c r="H9">
        <f t="shared" si="0"/>
        <v>5216.1999999999944</v>
      </c>
    </row>
    <row r="10" spans="1:9">
      <c r="A10" s="6">
        <v>45</v>
      </c>
      <c r="B10" s="4">
        <v>5328</v>
      </c>
      <c r="C10" s="4">
        <v>2841</v>
      </c>
      <c r="D10" s="7">
        <v>1.0665815704015167</v>
      </c>
      <c r="E10" s="7">
        <v>2.0002627972894338</v>
      </c>
      <c r="F10" s="7">
        <v>1.3762235195231272</v>
      </c>
      <c r="G10" s="7">
        <v>2.0002627972894333</v>
      </c>
      <c r="H10">
        <f t="shared" si="0"/>
        <v>3084.5999999999972</v>
      </c>
    </row>
    <row r="11" spans="1:9">
      <c r="A11" s="6">
        <v>50</v>
      </c>
      <c r="B11" s="4">
        <v>5328</v>
      </c>
      <c r="C11" s="4">
        <v>2659</v>
      </c>
      <c r="D11" s="7">
        <v>0.99825427514876197</v>
      </c>
      <c r="E11" s="7">
        <v>1.997634824395097</v>
      </c>
      <c r="F11" s="7">
        <v>1.3384265950856904</v>
      </c>
      <c r="G11" s="7">
        <v>1.9999999999999998</v>
      </c>
      <c r="H11">
        <f t="shared" si="0"/>
        <v>406.99999999998261</v>
      </c>
    </row>
    <row r="12" spans="1:9">
      <c r="A12" s="6">
        <v>55</v>
      </c>
      <c r="B12" s="4">
        <v>5328</v>
      </c>
      <c r="C12" s="4">
        <v>2486</v>
      </c>
      <c r="D12" s="7">
        <v>0.93330580218872594</v>
      </c>
      <c r="E12" s="7">
        <v>0</v>
      </c>
      <c r="F12" s="7">
        <v>1.3015974320950574</v>
      </c>
      <c r="G12" s="7">
        <v>1.8181818181818179</v>
      </c>
      <c r="H12">
        <f t="shared" si="0"/>
        <v>-2789.6000000000181</v>
      </c>
    </row>
    <row r="13" spans="1:9">
      <c r="A13" s="6">
        <v>60</v>
      </c>
      <c r="B13" s="4">
        <v>5328</v>
      </c>
      <c r="C13" s="4">
        <v>2369</v>
      </c>
      <c r="D13" s="7">
        <v>0.88938111238338369</v>
      </c>
      <c r="E13" s="7">
        <v>0</v>
      </c>
      <c r="F13" s="7">
        <v>1.2672460721190844</v>
      </c>
      <c r="G13" s="7">
        <v>1.6666666666666663</v>
      </c>
      <c r="H13">
        <f t="shared" si="0"/>
        <v>-6337.2000000000271</v>
      </c>
    </row>
    <row r="14" spans="1:9">
      <c r="A14" s="6">
        <v>65</v>
      </c>
      <c r="B14" s="4">
        <v>5328</v>
      </c>
      <c r="C14" s="4">
        <v>2248</v>
      </c>
      <c r="D14" s="7">
        <v>0.84395472378127756</v>
      </c>
      <c r="E14" s="7">
        <v>0</v>
      </c>
      <c r="F14" s="7">
        <v>1.2346851991700225</v>
      </c>
      <c r="G14" s="7">
        <v>1.5384615384615383</v>
      </c>
      <c r="H14">
        <f t="shared" si="0"/>
        <v>-10247.800000000014</v>
      </c>
    </row>
    <row r="15" spans="1:9">
      <c r="A15" s="6">
        <v>70</v>
      </c>
      <c r="B15" s="4">
        <v>5328</v>
      </c>
      <c r="C15" s="4">
        <v>2104</v>
      </c>
      <c r="D15" s="7">
        <v>0.78989356709777936</v>
      </c>
      <c r="E15" s="7">
        <v>0</v>
      </c>
      <c r="F15" s="7">
        <v>1.2029143683077193</v>
      </c>
      <c r="G15" s="7">
        <v>1.4285714285714284</v>
      </c>
      <c r="H15">
        <f t="shared" si="0"/>
        <v>-14590.400000000031</v>
      </c>
    </row>
    <row r="16" spans="1:9">
      <c r="A16" s="6">
        <v>75</v>
      </c>
      <c r="B16" s="4">
        <v>5328</v>
      </c>
      <c r="C16" s="4">
        <v>2057</v>
      </c>
      <c r="D16" s="7">
        <v>0.77224860623580427</v>
      </c>
      <c r="E16" s="7">
        <v>0</v>
      </c>
      <c r="F16" s="7">
        <v>1.1742033175029249</v>
      </c>
      <c r="G16" s="7">
        <v>1.333333333333333</v>
      </c>
      <c r="H16">
        <f t="shared" si="0"/>
        <v>-19074.000000000018</v>
      </c>
    </row>
    <row r="17" spans="1:8">
      <c r="A17" s="6">
        <v>80</v>
      </c>
      <c r="B17" s="4">
        <v>5328</v>
      </c>
      <c r="C17" s="4">
        <v>1870</v>
      </c>
      <c r="D17" s="7">
        <v>0.70204418748709474</v>
      </c>
      <c r="E17" s="7">
        <v>0</v>
      </c>
      <c r="F17" s="7">
        <v>1.1446933718769357</v>
      </c>
      <c r="G17" s="7">
        <v>1.2499999999999998</v>
      </c>
      <c r="H17">
        <f t="shared" si="0"/>
        <v>-24118.600000000017</v>
      </c>
    </row>
    <row r="18" spans="1:8">
      <c r="A18" s="6">
        <v>85</v>
      </c>
      <c r="B18" s="4">
        <v>5328</v>
      </c>
      <c r="C18" s="4">
        <v>1586</v>
      </c>
      <c r="D18" s="7">
        <v>0.59542357291686221</v>
      </c>
      <c r="E18" s="7">
        <v>0</v>
      </c>
      <c r="F18" s="7">
        <v>1.1123833837028136</v>
      </c>
      <c r="G18" s="7">
        <v>1.1764705882352939</v>
      </c>
      <c r="H18">
        <f t="shared" si="0"/>
        <v>-30015.20000000003</v>
      </c>
    </row>
    <row r="19" spans="1:8">
      <c r="A19" s="6">
        <v>90</v>
      </c>
      <c r="B19" s="4">
        <v>5328</v>
      </c>
      <c r="C19" s="4">
        <v>1291</v>
      </c>
      <c r="D19" s="7">
        <v>0.48467328665552906</v>
      </c>
      <c r="E19" s="7">
        <v>0</v>
      </c>
      <c r="F19" s="7">
        <v>1.07751060053352</v>
      </c>
      <c r="G19" s="7">
        <v>1.1111111111111109</v>
      </c>
      <c r="H19">
        <f t="shared" si="0"/>
        <v>-36796.800000000032</v>
      </c>
    </row>
    <row r="20" spans="1:8">
      <c r="A20" s="6">
        <v>95</v>
      </c>
      <c r="B20" s="4">
        <v>5328</v>
      </c>
      <c r="C20" s="4">
        <v>1028</v>
      </c>
      <c r="D20" s="7">
        <v>0.38593659076830661</v>
      </c>
      <c r="E20" s="7">
        <v>0</v>
      </c>
      <c r="F20" s="7">
        <v>1.041111968440614</v>
      </c>
      <c r="G20" s="7">
        <v>1.0526315789473681</v>
      </c>
      <c r="H20">
        <f t="shared" si="0"/>
        <v>-44367.400000000016</v>
      </c>
    </row>
    <row r="21" spans="1:8">
      <c r="A21" s="6">
        <v>100</v>
      </c>
      <c r="B21" s="4">
        <v>5314</v>
      </c>
      <c r="C21" s="4">
        <v>583</v>
      </c>
      <c r="D21" s="7">
        <v>0.21887259962832953</v>
      </c>
      <c r="E21" s="7">
        <v>0</v>
      </c>
      <c r="F21" s="7">
        <v>1</v>
      </c>
      <c r="G21" s="7">
        <v>1</v>
      </c>
      <c r="H21">
        <f t="shared" si="0"/>
        <v>-53273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1"/>
  <sheetViews>
    <sheetView workbookViewId="0"/>
  </sheetViews>
  <sheetFormatPr defaultRowHeight="15"/>
  <cols>
    <col min="1" max="1" width="5.5703125" bestFit="1" customWidth="1"/>
    <col min="2" max="2" width="10.42578125" bestFit="1" customWidth="1"/>
    <col min="3" max="3" width="13.5703125" bestFit="1" customWidth="1"/>
    <col min="4" max="4" width="12.28515625" bestFit="1" customWidth="1"/>
  </cols>
  <sheetData>
    <row r="1" spans="1:4">
      <c r="A1" s="2" t="s">
        <v>43</v>
      </c>
      <c r="B1" s="2" t="s">
        <v>44</v>
      </c>
      <c r="C1" s="2" t="s">
        <v>45</v>
      </c>
      <c r="D1" s="2" t="s">
        <v>46</v>
      </c>
    </row>
    <row r="2" spans="1:4">
      <c r="A2" s="6">
        <v>0</v>
      </c>
      <c r="B2" s="7">
        <v>1</v>
      </c>
      <c r="C2" s="8">
        <v>1</v>
      </c>
      <c r="D2" t="s">
        <v>47</v>
      </c>
    </row>
    <row r="3" spans="1:4">
      <c r="A3" s="6">
        <v>0.01</v>
      </c>
      <c r="B3" s="7">
        <v>1</v>
      </c>
      <c r="C3" s="8">
        <v>1</v>
      </c>
      <c r="D3" t="s">
        <v>47</v>
      </c>
    </row>
    <row r="4" spans="1:4">
      <c r="A4" s="6">
        <v>0.02</v>
      </c>
      <c r="B4" s="7">
        <v>1</v>
      </c>
      <c r="C4" s="8">
        <v>1</v>
      </c>
      <c r="D4" t="s">
        <v>47</v>
      </c>
    </row>
    <row r="5" spans="1:4">
      <c r="A5" s="6">
        <v>0.03</v>
      </c>
      <c r="B5" s="7">
        <v>1</v>
      </c>
      <c r="C5" s="8">
        <v>1</v>
      </c>
      <c r="D5" t="s">
        <v>47</v>
      </c>
    </row>
    <row r="6" spans="1:4">
      <c r="A6" s="6">
        <v>0.04</v>
      </c>
      <c r="B6" s="7">
        <v>1</v>
      </c>
      <c r="C6" s="8">
        <v>1</v>
      </c>
      <c r="D6" t="s">
        <v>47</v>
      </c>
    </row>
    <row r="7" spans="1:4">
      <c r="A7" s="6">
        <v>0.05</v>
      </c>
      <c r="B7" s="7">
        <v>1</v>
      </c>
      <c r="C7" s="8">
        <v>1</v>
      </c>
      <c r="D7" t="s">
        <v>47</v>
      </c>
    </row>
    <row r="8" spans="1:4">
      <c r="A8" s="6">
        <v>6.0000000000000005E-2</v>
      </c>
      <c r="B8" s="7">
        <v>1</v>
      </c>
      <c r="C8" s="8">
        <v>1</v>
      </c>
      <c r="D8" t="s">
        <v>47</v>
      </c>
    </row>
    <row r="9" spans="1:4">
      <c r="A9" s="6">
        <v>7.0000000000000007E-2</v>
      </c>
      <c r="B9" s="7">
        <v>1</v>
      </c>
      <c r="C9" s="8">
        <v>1</v>
      </c>
      <c r="D9" t="s">
        <v>47</v>
      </c>
    </row>
    <row r="10" spans="1:4">
      <c r="A10" s="6">
        <v>0.08</v>
      </c>
      <c r="B10" s="7">
        <v>1</v>
      </c>
      <c r="C10" s="8">
        <v>1</v>
      </c>
      <c r="D10" t="s">
        <v>47</v>
      </c>
    </row>
    <row r="11" spans="1:4">
      <c r="A11" s="6">
        <v>0.09</v>
      </c>
      <c r="B11" s="7">
        <v>1</v>
      </c>
      <c r="C11" s="8">
        <v>1</v>
      </c>
      <c r="D11" t="s">
        <v>47</v>
      </c>
    </row>
    <row r="12" spans="1:4">
      <c r="A12" s="6">
        <v>9.9999999999999992E-2</v>
      </c>
      <c r="B12" s="7">
        <v>1</v>
      </c>
      <c r="C12" s="8">
        <v>1</v>
      </c>
      <c r="D12" t="s">
        <v>47</v>
      </c>
    </row>
    <row r="13" spans="1:4">
      <c r="A13" s="6">
        <v>0.10999999999999999</v>
      </c>
      <c r="B13" s="7">
        <v>1</v>
      </c>
      <c r="C13" s="8">
        <v>1</v>
      </c>
      <c r="D13" t="s">
        <v>47</v>
      </c>
    </row>
    <row r="14" spans="1:4">
      <c r="A14" s="6">
        <v>0.11999999999999998</v>
      </c>
      <c r="B14" s="7">
        <v>1</v>
      </c>
      <c r="C14" s="8">
        <v>1</v>
      </c>
      <c r="D14" t="s">
        <v>47</v>
      </c>
    </row>
    <row r="15" spans="1:4">
      <c r="A15" s="6">
        <v>0.12999999999999998</v>
      </c>
      <c r="B15" s="7">
        <v>1</v>
      </c>
      <c r="C15" s="8">
        <v>1</v>
      </c>
      <c r="D15" t="s">
        <v>47</v>
      </c>
    </row>
    <row r="16" spans="1:4">
      <c r="A16" s="6">
        <v>0.13999999999999999</v>
      </c>
      <c r="B16" s="7">
        <v>1</v>
      </c>
      <c r="C16" s="8">
        <v>1</v>
      </c>
      <c r="D16" t="s">
        <v>47</v>
      </c>
    </row>
    <row r="17" spans="1:4">
      <c r="A17" s="6">
        <v>0.15</v>
      </c>
      <c r="B17" s="7">
        <v>1</v>
      </c>
      <c r="C17" s="8">
        <v>1</v>
      </c>
      <c r="D17" t="s">
        <v>47</v>
      </c>
    </row>
    <row r="18" spans="1:4">
      <c r="A18" s="6">
        <v>0.16</v>
      </c>
      <c r="B18" s="7">
        <v>1</v>
      </c>
      <c r="C18" s="8">
        <v>1</v>
      </c>
      <c r="D18" t="s">
        <v>47</v>
      </c>
    </row>
    <row r="19" spans="1:4">
      <c r="A19" s="6">
        <v>0.17</v>
      </c>
      <c r="B19" s="7">
        <v>1</v>
      </c>
      <c r="C19" s="8">
        <v>1</v>
      </c>
      <c r="D19" t="s">
        <v>47</v>
      </c>
    </row>
    <row r="20" spans="1:4">
      <c r="A20" s="6">
        <v>0.18000000000000002</v>
      </c>
      <c r="B20" s="7">
        <v>1</v>
      </c>
      <c r="C20" s="8">
        <v>0.9993805492463349</v>
      </c>
      <c r="D20" t="s">
        <v>47</v>
      </c>
    </row>
    <row r="21" spans="1:4">
      <c r="A21" s="6">
        <v>0.19000000000000003</v>
      </c>
      <c r="B21" s="7">
        <v>1</v>
      </c>
      <c r="C21" s="8">
        <v>0.99876109849266981</v>
      </c>
      <c r="D21" t="s">
        <v>47</v>
      </c>
    </row>
    <row r="22" spans="1:4">
      <c r="A22" s="6">
        <v>0.20000000000000004</v>
      </c>
      <c r="B22" s="7">
        <v>1</v>
      </c>
      <c r="C22" s="8">
        <v>0.99834813132355982</v>
      </c>
      <c r="D22" t="s">
        <v>47</v>
      </c>
    </row>
    <row r="23" spans="1:4">
      <c r="A23" s="6">
        <v>0.21000000000000005</v>
      </c>
      <c r="B23" s="7">
        <v>1</v>
      </c>
      <c r="C23" s="8">
        <v>0.99772868056989472</v>
      </c>
      <c r="D23" t="s">
        <v>47</v>
      </c>
    </row>
    <row r="24" spans="1:4">
      <c r="A24" s="6">
        <v>0.22000000000000006</v>
      </c>
      <c r="B24" s="7">
        <v>1</v>
      </c>
      <c r="C24" s="8">
        <v>0.99628329547800953</v>
      </c>
      <c r="D24" t="s">
        <v>47</v>
      </c>
    </row>
    <row r="25" spans="1:4">
      <c r="A25" s="6">
        <v>0.23000000000000007</v>
      </c>
      <c r="B25" s="7">
        <v>1</v>
      </c>
      <c r="C25" s="8">
        <v>0.99401197604790414</v>
      </c>
      <c r="D25" t="s">
        <v>47</v>
      </c>
    </row>
    <row r="26" spans="1:4">
      <c r="A26" s="6">
        <v>0.24000000000000007</v>
      </c>
      <c r="B26" s="7">
        <v>1</v>
      </c>
      <c r="C26" s="8">
        <v>0.98967582077224858</v>
      </c>
      <c r="D26" t="s">
        <v>47</v>
      </c>
    </row>
    <row r="27" spans="1:4">
      <c r="A27" s="6">
        <v>0.25000000000000006</v>
      </c>
      <c r="B27" s="7">
        <v>0.999793516415445</v>
      </c>
      <c r="C27" s="8">
        <v>0.98554614908114802</v>
      </c>
      <c r="D27" t="s">
        <v>47</v>
      </c>
    </row>
    <row r="28" spans="1:4">
      <c r="A28" s="6">
        <v>0.26000000000000006</v>
      </c>
      <c r="B28" s="7">
        <v>0.99896758207722491</v>
      </c>
      <c r="C28" s="8">
        <v>0.97831922362172208</v>
      </c>
      <c r="D28" t="s">
        <v>47</v>
      </c>
    </row>
    <row r="29" spans="1:4">
      <c r="A29" s="6">
        <v>0.27000000000000007</v>
      </c>
      <c r="B29" s="7">
        <v>0.99876109849266981</v>
      </c>
      <c r="C29" s="8">
        <v>0.96985339665496595</v>
      </c>
      <c r="D29" t="s">
        <v>47</v>
      </c>
    </row>
    <row r="30" spans="1:4">
      <c r="A30" s="6">
        <v>0.28000000000000008</v>
      </c>
      <c r="B30" s="7">
        <v>0.99669626264711952</v>
      </c>
      <c r="C30" s="8">
        <v>0.95849679950443945</v>
      </c>
      <c r="D30" t="s">
        <v>47</v>
      </c>
    </row>
    <row r="31" spans="1:4">
      <c r="A31" s="6">
        <v>0.29000000000000009</v>
      </c>
      <c r="B31" s="7">
        <v>0.99504439397067934</v>
      </c>
      <c r="C31" s="8">
        <v>0.94734668593846794</v>
      </c>
      <c r="D31" t="s">
        <v>47</v>
      </c>
    </row>
    <row r="32" spans="1:4">
      <c r="A32" s="6">
        <v>0.3000000000000001</v>
      </c>
      <c r="B32" s="7">
        <v>0.99236010737146396</v>
      </c>
      <c r="C32" s="8">
        <v>0.93062151558951067</v>
      </c>
      <c r="D32" t="s">
        <v>47</v>
      </c>
    </row>
    <row r="33" spans="1:4">
      <c r="A33" s="6">
        <v>0.31000000000000011</v>
      </c>
      <c r="B33" s="7">
        <v>0.98988230435680369</v>
      </c>
      <c r="C33" s="8">
        <v>0.91348337807144331</v>
      </c>
      <c r="D33" t="s">
        <v>47</v>
      </c>
    </row>
    <row r="34" spans="1:4">
      <c r="A34" s="6">
        <v>0.32000000000000012</v>
      </c>
      <c r="B34" s="7">
        <v>0.98575263266570312</v>
      </c>
      <c r="C34" s="8">
        <v>0.89737765847615114</v>
      </c>
      <c r="D34" t="s">
        <v>47</v>
      </c>
    </row>
    <row r="35" spans="1:4">
      <c r="A35" s="6">
        <v>0.33000000000000013</v>
      </c>
      <c r="B35" s="7">
        <v>0.98100351022093746</v>
      </c>
      <c r="C35" s="8">
        <v>0.8781746851125336</v>
      </c>
      <c r="D35" t="s">
        <v>47</v>
      </c>
    </row>
    <row r="36" spans="1:4">
      <c r="A36" s="6">
        <v>0.34000000000000014</v>
      </c>
      <c r="B36" s="7">
        <v>0.97646087136072679</v>
      </c>
      <c r="C36" s="8">
        <v>0.85814577741069586</v>
      </c>
      <c r="D36" t="s">
        <v>47</v>
      </c>
    </row>
    <row r="37" spans="1:4">
      <c r="A37" s="6">
        <v>0.35000000000000014</v>
      </c>
      <c r="B37" s="7">
        <v>0.97026636382407594</v>
      </c>
      <c r="C37" s="8">
        <v>0.83109642783398718</v>
      </c>
      <c r="D37" t="s">
        <v>47</v>
      </c>
    </row>
    <row r="38" spans="1:4">
      <c r="A38" s="6">
        <v>0.36000000000000015</v>
      </c>
      <c r="B38" s="7">
        <v>0.96097460251909972</v>
      </c>
      <c r="C38" s="8">
        <v>0.80136279165806323</v>
      </c>
      <c r="D38" t="s">
        <v>47</v>
      </c>
    </row>
    <row r="39" spans="1:4">
      <c r="A39" s="6">
        <v>0.37000000000000016</v>
      </c>
      <c r="B39" s="7">
        <v>0.95023745612223831</v>
      </c>
      <c r="C39" s="8">
        <v>0.77018377039025399</v>
      </c>
      <c r="D39" t="s">
        <v>47</v>
      </c>
    </row>
    <row r="40" spans="1:4">
      <c r="A40" s="6">
        <v>0.38000000000000017</v>
      </c>
      <c r="B40" s="7">
        <v>0.93826140821804671</v>
      </c>
      <c r="C40" s="8">
        <v>0.73838529836877975</v>
      </c>
      <c r="D40" t="s">
        <v>47</v>
      </c>
    </row>
    <row r="41" spans="1:4">
      <c r="A41" s="6">
        <v>0.39000000000000018</v>
      </c>
      <c r="B41" s="7">
        <v>0.92339459013008462</v>
      </c>
      <c r="C41" s="8">
        <v>0.70307660540986994</v>
      </c>
      <c r="D41" t="s">
        <v>47</v>
      </c>
    </row>
    <row r="42" spans="1:4">
      <c r="A42" s="6">
        <v>0.40000000000000019</v>
      </c>
      <c r="B42" s="7">
        <v>0.90501755110468718</v>
      </c>
      <c r="C42" s="8">
        <v>0.66384472434441455</v>
      </c>
      <c r="D42" t="s">
        <v>47</v>
      </c>
    </row>
    <row r="43" spans="1:4">
      <c r="A43" s="6">
        <v>0.4100000000000002</v>
      </c>
      <c r="B43" s="7">
        <v>0.88560809415651454</v>
      </c>
      <c r="C43" s="8">
        <v>0.62998141647739003</v>
      </c>
      <c r="D43" t="s">
        <v>47</v>
      </c>
    </row>
    <row r="44" spans="1:4">
      <c r="A44" s="6">
        <v>0.42000000000000021</v>
      </c>
      <c r="B44" s="7">
        <v>0.8659921536237869</v>
      </c>
      <c r="C44" s="8">
        <v>0.59343382201115014</v>
      </c>
      <c r="D44" t="s">
        <v>47</v>
      </c>
    </row>
    <row r="45" spans="1:4">
      <c r="A45" s="6">
        <v>0.43000000000000022</v>
      </c>
      <c r="B45" s="7">
        <v>0.84327895932273389</v>
      </c>
      <c r="C45" s="8">
        <v>0.5614288664051208</v>
      </c>
      <c r="D45" t="s">
        <v>47</v>
      </c>
    </row>
    <row r="46" spans="1:4">
      <c r="A46" s="6">
        <v>0.44000000000000022</v>
      </c>
      <c r="B46" s="7">
        <v>0.82201115011356596</v>
      </c>
      <c r="C46" s="8">
        <v>0.5244683047697708</v>
      </c>
      <c r="D46" t="s">
        <v>47</v>
      </c>
    </row>
    <row r="47" spans="1:4">
      <c r="A47" s="6">
        <v>0.45000000000000023</v>
      </c>
      <c r="B47" s="7">
        <v>0.79103861243031182</v>
      </c>
      <c r="C47" s="8">
        <v>0.48213916993599004</v>
      </c>
      <c r="D47" t="s">
        <v>47</v>
      </c>
    </row>
    <row r="48" spans="1:4">
      <c r="A48" s="6">
        <v>0.46000000000000024</v>
      </c>
      <c r="B48" s="7">
        <v>0.76378277926904814</v>
      </c>
      <c r="C48" s="8">
        <v>0.44332025603964487</v>
      </c>
      <c r="D48" t="s">
        <v>47</v>
      </c>
    </row>
    <row r="49" spans="1:4">
      <c r="A49" s="6">
        <v>0.47000000000000025</v>
      </c>
      <c r="B49" s="7">
        <v>0.73487507743134417</v>
      </c>
      <c r="C49" s="8">
        <v>0.40883749741895514</v>
      </c>
      <c r="D49" t="s">
        <v>47</v>
      </c>
    </row>
    <row r="50" spans="1:4">
      <c r="A50" s="6">
        <v>0.48000000000000026</v>
      </c>
      <c r="B50" s="7">
        <v>0.71009704728474088</v>
      </c>
      <c r="C50" s="8">
        <v>0.37621309105926082</v>
      </c>
      <c r="D50" t="s">
        <v>47</v>
      </c>
    </row>
    <row r="51" spans="1:4">
      <c r="A51" s="6">
        <v>0.49000000000000027</v>
      </c>
      <c r="B51" s="7">
        <v>0.67664670658682635</v>
      </c>
      <c r="C51" s="8">
        <v>0.33945901300846582</v>
      </c>
      <c r="D51" t="s">
        <v>47</v>
      </c>
    </row>
    <row r="52" spans="1:4">
      <c r="A52" s="6">
        <v>0.50000000000000022</v>
      </c>
      <c r="B52" s="7">
        <v>0.64773900474912249</v>
      </c>
      <c r="C52" s="8">
        <v>0.30249845137311582</v>
      </c>
      <c r="D52" t="s">
        <v>48</v>
      </c>
    </row>
    <row r="53" spans="1:4">
      <c r="A53" s="6">
        <v>0.51000000000000023</v>
      </c>
      <c r="B53" s="7">
        <v>0.61201734462110258</v>
      </c>
      <c r="C53" s="8">
        <v>0.27359074953541196</v>
      </c>
      <c r="D53" t="s">
        <v>47</v>
      </c>
    </row>
    <row r="54" spans="1:4">
      <c r="A54" s="6">
        <v>0.52000000000000024</v>
      </c>
      <c r="B54" s="7">
        <v>0.58125129052240343</v>
      </c>
      <c r="C54" s="8">
        <v>0.24716085071236837</v>
      </c>
      <c r="D54" t="s">
        <v>47</v>
      </c>
    </row>
    <row r="55" spans="1:4">
      <c r="A55" s="6">
        <v>0.53000000000000025</v>
      </c>
      <c r="B55" s="7">
        <v>0.5478009498244889</v>
      </c>
      <c r="C55" s="8">
        <v>0.21804666529010941</v>
      </c>
      <c r="D55" t="s">
        <v>47</v>
      </c>
    </row>
    <row r="56" spans="1:4">
      <c r="A56" s="6">
        <v>0.54000000000000026</v>
      </c>
      <c r="B56" s="7">
        <v>0.51744786289489986</v>
      </c>
      <c r="C56" s="8">
        <v>0.19161676646706582</v>
      </c>
      <c r="D56" t="s">
        <v>47</v>
      </c>
    </row>
    <row r="57" spans="1:4">
      <c r="A57" s="6">
        <v>0.55000000000000027</v>
      </c>
      <c r="B57" s="7">
        <v>0.48668180879620071</v>
      </c>
      <c r="C57" s="8">
        <v>0.170348957257898</v>
      </c>
      <c r="D57" t="s">
        <v>47</v>
      </c>
    </row>
    <row r="58" spans="1:4">
      <c r="A58" s="6">
        <v>0.56000000000000028</v>
      </c>
      <c r="B58" s="7">
        <v>0.45467685319017137</v>
      </c>
      <c r="C58" s="8">
        <v>0.14825521371050998</v>
      </c>
      <c r="D58" t="s">
        <v>47</v>
      </c>
    </row>
    <row r="59" spans="1:4">
      <c r="A59" s="6">
        <v>0.57000000000000028</v>
      </c>
      <c r="B59" s="7">
        <v>0.42391079909147222</v>
      </c>
      <c r="C59" s="8">
        <v>0.13111707619244273</v>
      </c>
      <c r="D59" t="s">
        <v>47</v>
      </c>
    </row>
    <row r="60" spans="1:4">
      <c r="A60" s="6">
        <v>0.58000000000000029</v>
      </c>
      <c r="B60" s="7">
        <v>0.38612430311790213</v>
      </c>
      <c r="C60" s="8">
        <v>0.11067520132149489</v>
      </c>
      <c r="D60" t="s">
        <v>47</v>
      </c>
    </row>
    <row r="61" spans="1:4">
      <c r="A61" s="6">
        <v>0.5900000000000003</v>
      </c>
      <c r="B61" s="7">
        <v>0.3541193475118728</v>
      </c>
      <c r="C61" s="8">
        <v>9.6634317571753003E-2</v>
      </c>
      <c r="D61" t="s">
        <v>47</v>
      </c>
    </row>
    <row r="62" spans="1:4">
      <c r="A62" s="6">
        <v>0.60000000000000031</v>
      </c>
      <c r="B62" s="7">
        <v>0.32830889944249431</v>
      </c>
      <c r="C62" s="8">
        <v>8.0322114391905841E-2</v>
      </c>
      <c r="D62" t="s">
        <v>47</v>
      </c>
    </row>
    <row r="63" spans="1:4">
      <c r="A63" s="6">
        <v>0.61000000000000032</v>
      </c>
      <c r="B63" s="7">
        <v>0.30084658269667564</v>
      </c>
      <c r="C63" s="8">
        <v>6.8965517241379337E-2</v>
      </c>
      <c r="D63" t="s">
        <v>47</v>
      </c>
    </row>
    <row r="64" spans="1:4">
      <c r="A64" s="6">
        <v>0.62000000000000033</v>
      </c>
      <c r="B64" s="7">
        <v>0.2746231674581871</v>
      </c>
      <c r="C64" s="8">
        <v>5.8434854429072924E-2</v>
      </c>
      <c r="D64" t="s">
        <v>47</v>
      </c>
    </row>
    <row r="65" spans="1:4">
      <c r="A65" s="6">
        <v>0.63000000000000034</v>
      </c>
      <c r="B65" s="7">
        <v>0.24819326863514352</v>
      </c>
      <c r="C65" s="8">
        <v>5.017551104687179E-2</v>
      </c>
      <c r="D65" t="s">
        <v>47</v>
      </c>
    </row>
    <row r="66" spans="1:4">
      <c r="A66" s="6">
        <v>0.64000000000000035</v>
      </c>
      <c r="B66" s="7">
        <v>0.22382820565765021</v>
      </c>
      <c r="C66" s="8">
        <v>4.1503200495560555E-2</v>
      </c>
      <c r="D66" t="s">
        <v>47</v>
      </c>
    </row>
    <row r="67" spans="1:4">
      <c r="A67" s="6">
        <v>0.65000000000000036</v>
      </c>
      <c r="B67" s="7">
        <v>0.20317984720214743</v>
      </c>
      <c r="C67" s="8">
        <v>3.4895725789799714E-2</v>
      </c>
      <c r="D67" t="s">
        <v>47</v>
      </c>
    </row>
    <row r="68" spans="1:4">
      <c r="A68" s="6">
        <v>0.66000000000000036</v>
      </c>
      <c r="B68" s="7">
        <v>0.18480280817674996</v>
      </c>
      <c r="C68" s="8">
        <v>2.8494734668593868E-2</v>
      </c>
      <c r="D68" t="s">
        <v>47</v>
      </c>
    </row>
    <row r="69" spans="1:4">
      <c r="A69" s="6">
        <v>0.67000000000000037</v>
      </c>
      <c r="B69" s="7">
        <v>0.16415444972124715</v>
      </c>
      <c r="C69" s="8">
        <v>2.4158579392938306E-2</v>
      </c>
      <c r="D69" t="s">
        <v>47</v>
      </c>
    </row>
    <row r="70" spans="1:4">
      <c r="A70" s="6">
        <v>0.68000000000000038</v>
      </c>
      <c r="B70" s="7">
        <v>0.14474499277307454</v>
      </c>
      <c r="C70" s="8">
        <v>1.9615940532727638E-2</v>
      </c>
      <c r="D70" t="s">
        <v>47</v>
      </c>
    </row>
    <row r="71" spans="1:4">
      <c r="A71" s="6">
        <v>0.69000000000000039</v>
      </c>
      <c r="B71" s="7">
        <v>0.1282263060086723</v>
      </c>
      <c r="C71" s="8">
        <v>1.5692752426182066E-2</v>
      </c>
      <c r="D71" t="s">
        <v>47</v>
      </c>
    </row>
    <row r="72" spans="1:4">
      <c r="A72" s="6">
        <v>0.7000000000000004</v>
      </c>
      <c r="B72" s="7">
        <v>0.11067520132149494</v>
      </c>
      <c r="C72" s="8">
        <v>1.19760479041916E-2</v>
      </c>
      <c r="D72" t="s">
        <v>47</v>
      </c>
    </row>
    <row r="73" spans="1:4">
      <c r="A73" s="6">
        <v>0.71000000000000041</v>
      </c>
      <c r="B73" s="7">
        <v>9.6014866818087963E-2</v>
      </c>
      <c r="C73" s="8">
        <v>8.2593433822011342E-3</v>
      </c>
      <c r="D73" t="s">
        <v>47</v>
      </c>
    </row>
    <row r="74" spans="1:4">
      <c r="A74" s="6">
        <v>0.72000000000000042</v>
      </c>
      <c r="B74" s="7">
        <v>8.3832335329341312E-2</v>
      </c>
      <c r="C74" s="8">
        <v>6.4009911212058457E-3</v>
      </c>
      <c r="D74" t="s">
        <v>47</v>
      </c>
    </row>
    <row r="75" spans="1:4">
      <c r="A75" s="6">
        <v>0.73000000000000043</v>
      </c>
      <c r="B75" s="7">
        <v>7.4747057608920087E-2</v>
      </c>
      <c r="C75" s="8">
        <v>4.5426388602106682E-3</v>
      </c>
      <c r="D75" t="s">
        <v>47</v>
      </c>
    </row>
    <row r="76" spans="1:4">
      <c r="A76" s="6">
        <v>0.74000000000000044</v>
      </c>
      <c r="B76" s="7">
        <v>6.4009911212058637E-2</v>
      </c>
      <c r="C76" s="8">
        <v>3.3037373528804759E-3</v>
      </c>
      <c r="D76" t="s">
        <v>47</v>
      </c>
    </row>
    <row r="77" spans="1:4">
      <c r="A77" s="6">
        <v>0.75000000000000044</v>
      </c>
      <c r="B77" s="7">
        <v>5.2653314061532105E-2</v>
      </c>
      <c r="C77" s="8">
        <v>2.0648358455502835E-3</v>
      </c>
      <c r="D77" t="s">
        <v>47</v>
      </c>
    </row>
    <row r="78" spans="1:4">
      <c r="A78" s="6">
        <v>0.76000000000000045</v>
      </c>
      <c r="B78" s="7">
        <v>4.4600454263886022E-2</v>
      </c>
      <c r="C78" s="8">
        <v>1.2389015073301923E-3</v>
      </c>
      <c r="D78" t="s">
        <v>47</v>
      </c>
    </row>
    <row r="79" spans="1:4">
      <c r="A79" s="6">
        <v>0.77000000000000046</v>
      </c>
      <c r="B79" s="7">
        <v>3.5928143712574849E-2</v>
      </c>
      <c r="C79" s="8">
        <v>8.2593433822009121E-4</v>
      </c>
      <c r="D79" t="s">
        <v>47</v>
      </c>
    </row>
    <row r="80" spans="1:4">
      <c r="A80" s="6">
        <v>0.78000000000000047</v>
      </c>
      <c r="B80" s="7">
        <v>2.7875283914928762E-2</v>
      </c>
      <c r="C80" s="8">
        <v>6.1945075366509617E-4</v>
      </c>
      <c r="D80" t="s">
        <v>47</v>
      </c>
    </row>
    <row r="81" spans="1:4">
      <c r="A81" s="6">
        <v>0.79000000000000048</v>
      </c>
      <c r="B81" s="7">
        <v>2.1680776378277925E-2</v>
      </c>
      <c r="C81" s="8">
        <v>4.1296716911010112E-4</v>
      </c>
      <c r="D81" t="s">
        <v>47</v>
      </c>
    </row>
    <row r="82" spans="1:4">
      <c r="A82" s="6">
        <v>0.80000000000000049</v>
      </c>
      <c r="B82" s="7">
        <v>1.5899236010737148E-2</v>
      </c>
      <c r="C82" s="8">
        <v>2.0648358455499505E-4</v>
      </c>
      <c r="D82" t="s">
        <v>47</v>
      </c>
    </row>
    <row r="83" spans="1:4">
      <c r="A83" s="6">
        <v>0.8100000000000005</v>
      </c>
      <c r="B83" s="7">
        <v>1.1356597150526533E-2</v>
      </c>
      <c r="C83" s="8">
        <v>2.0648358455499505E-4</v>
      </c>
      <c r="D83" t="s">
        <v>47</v>
      </c>
    </row>
    <row r="84" spans="1:4">
      <c r="A84" s="6">
        <v>0.82000000000000051</v>
      </c>
      <c r="B84" s="7">
        <v>8.6723105513111711E-3</v>
      </c>
      <c r="C84" s="8">
        <v>2.0648358455499505E-4</v>
      </c>
      <c r="D84" t="s">
        <v>47</v>
      </c>
    </row>
    <row r="85" spans="1:4">
      <c r="A85" s="6">
        <v>0.83000000000000052</v>
      </c>
      <c r="B85" s="7">
        <v>6.1945075366508359E-3</v>
      </c>
      <c r="C85" s="8">
        <v>0</v>
      </c>
      <c r="D85" t="s">
        <v>47</v>
      </c>
    </row>
    <row r="86" spans="1:4">
      <c r="A86" s="6">
        <v>0.84000000000000052</v>
      </c>
      <c r="B86" s="7">
        <v>4.7491224447656407E-3</v>
      </c>
      <c r="C86" s="8">
        <v>0</v>
      </c>
      <c r="D86" t="s">
        <v>47</v>
      </c>
    </row>
    <row r="87" spans="1:4">
      <c r="A87" s="6">
        <v>0.85000000000000053</v>
      </c>
      <c r="B87" s="7">
        <v>2.8907701837703904E-3</v>
      </c>
      <c r="C87" s="8">
        <v>0</v>
      </c>
      <c r="D87" t="s">
        <v>47</v>
      </c>
    </row>
    <row r="88" spans="1:4">
      <c r="A88" s="6">
        <v>0.86000000000000054</v>
      </c>
      <c r="B88" s="7">
        <v>8.2593433822011149E-4</v>
      </c>
      <c r="C88" s="8">
        <v>0</v>
      </c>
      <c r="D88" t="s">
        <v>47</v>
      </c>
    </row>
    <row r="89" spans="1:4">
      <c r="A89" s="6">
        <v>0.87000000000000055</v>
      </c>
      <c r="B89" s="7">
        <v>2.0648358455502787E-4</v>
      </c>
      <c r="C89" s="8">
        <v>0</v>
      </c>
      <c r="D89" t="s">
        <v>47</v>
      </c>
    </row>
    <row r="90" spans="1:4">
      <c r="A90" s="6">
        <v>0.88000000000000056</v>
      </c>
      <c r="B90" s="7">
        <v>0</v>
      </c>
      <c r="C90" s="8">
        <v>0</v>
      </c>
      <c r="D90" t="s">
        <v>47</v>
      </c>
    </row>
    <row r="91" spans="1:4">
      <c r="A91" s="6">
        <v>0.89000000000000057</v>
      </c>
      <c r="B91" s="7">
        <v>0</v>
      </c>
      <c r="C91" s="8">
        <v>0</v>
      </c>
      <c r="D91" t="s">
        <v>47</v>
      </c>
    </row>
    <row r="92" spans="1:4">
      <c r="A92" s="6">
        <v>0.90000000000000058</v>
      </c>
      <c r="B92" s="7">
        <v>0</v>
      </c>
      <c r="C92" s="8">
        <v>0</v>
      </c>
      <c r="D92" t="s">
        <v>47</v>
      </c>
    </row>
    <row r="93" spans="1:4">
      <c r="A93" s="6">
        <v>0.91000000000000059</v>
      </c>
      <c r="B93" s="7">
        <v>0</v>
      </c>
      <c r="C93" s="8">
        <v>0</v>
      </c>
      <c r="D93" t="s">
        <v>47</v>
      </c>
    </row>
    <row r="94" spans="1:4">
      <c r="A94" s="6">
        <v>0.9200000000000006</v>
      </c>
      <c r="B94" s="7">
        <v>0</v>
      </c>
      <c r="C94" s="8">
        <v>0</v>
      </c>
      <c r="D94" t="s">
        <v>47</v>
      </c>
    </row>
    <row r="95" spans="1:4">
      <c r="A95" s="6">
        <v>0.9300000000000006</v>
      </c>
      <c r="B95" s="7">
        <v>0</v>
      </c>
      <c r="C95" s="8">
        <v>0</v>
      </c>
      <c r="D95" t="s">
        <v>47</v>
      </c>
    </row>
    <row r="96" spans="1:4">
      <c r="A96" s="6">
        <v>0.94000000000000061</v>
      </c>
      <c r="B96" s="7">
        <v>0</v>
      </c>
      <c r="C96" s="8">
        <v>0</v>
      </c>
      <c r="D96" t="s">
        <v>47</v>
      </c>
    </row>
    <row r="97" spans="1:4">
      <c r="A97" s="6">
        <v>0.95000000000000062</v>
      </c>
      <c r="B97" s="7">
        <v>0</v>
      </c>
      <c r="C97" s="8">
        <v>0</v>
      </c>
      <c r="D97" t="s">
        <v>47</v>
      </c>
    </row>
    <row r="98" spans="1:4">
      <c r="A98" s="6">
        <v>0.96000000000000063</v>
      </c>
      <c r="B98" s="7">
        <v>0</v>
      </c>
      <c r="C98" s="8">
        <v>0</v>
      </c>
      <c r="D98" t="s">
        <v>47</v>
      </c>
    </row>
    <row r="99" spans="1:4">
      <c r="A99" s="6">
        <v>0.97000000000000064</v>
      </c>
      <c r="B99" s="7">
        <v>0</v>
      </c>
      <c r="C99" s="8">
        <v>0</v>
      </c>
      <c r="D99" t="s">
        <v>47</v>
      </c>
    </row>
    <row r="100" spans="1:4">
      <c r="A100" s="6">
        <v>0.98000000000000065</v>
      </c>
      <c r="B100" s="7">
        <v>0</v>
      </c>
      <c r="C100" s="8">
        <v>0</v>
      </c>
      <c r="D100" t="s">
        <v>47</v>
      </c>
    </row>
    <row r="101" spans="1:4">
      <c r="A101" s="6">
        <v>0.99000000000000066</v>
      </c>
      <c r="B101" s="7">
        <v>0</v>
      </c>
      <c r="C101" s="8">
        <v>0</v>
      </c>
      <c r="D101" t="s">
        <v>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1"/>
  <sheetViews>
    <sheetView workbookViewId="0"/>
  </sheetViews>
  <sheetFormatPr defaultRowHeight="15"/>
  <cols>
    <col min="1" max="1" width="5.5703125" bestFit="1" customWidth="1"/>
    <col min="2" max="2" width="10.85546875" bestFit="1" customWidth="1"/>
    <col min="3" max="3" width="10.42578125" bestFit="1" customWidth="1"/>
    <col min="4" max="4" width="10.5703125" bestFit="1" customWidth="1"/>
    <col min="5" max="5" width="20.140625" bestFit="1" customWidth="1"/>
    <col min="6" max="6" width="21" bestFit="1" customWidth="1"/>
    <col min="7" max="7" width="24.7109375" bestFit="1" customWidth="1"/>
    <col min="8" max="8" width="27.85546875" bestFit="1" customWidth="1"/>
    <col min="9" max="9" width="10.7109375" bestFit="1" customWidth="1"/>
    <col min="10" max="10" width="9" bestFit="1" customWidth="1"/>
    <col min="11" max="11" width="42.7109375" bestFit="1" customWidth="1"/>
  </cols>
  <sheetData>
    <row r="1" spans="1:11">
      <c r="A1" s="2" t="s">
        <v>43</v>
      </c>
      <c r="B1" s="2" t="s">
        <v>49</v>
      </c>
      <c r="C1" s="2" t="s">
        <v>44</v>
      </c>
      <c r="D1" s="2" t="s">
        <v>50</v>
      </c>
      <c r="E1" s="2" t="s">
        <v>51</v>
      </c>
      <c r="F1" s="2" t="s">
        <v>52</v>
      </c>
      <c r="G1" s="2" t="s">
        <v>53</v>
      </c>
      <c r="H1" s="2" t="s">
        <v>54</v>
      </c>
      <c r="I1" s="2" t="s">
        <v>55</v>
      </c>
      <c r="J1" s="2" t="s">
        <v>56</v>
      </c>
      <c r="K1" s="2" t="s">
        <v>57</v>
      </c>
    </row>
    <row r="2" spans="1:11">
      <c r="A2" s="6">
        <v>0</v>
      </c>
      <c r="B2" s="7">
        <v>0.5</v>
      </c>
      <c r="C2" s="7">
        <v>1</v>
      </c>
      <c r="D2" s="7">
        <v>0</v>
      </c>
      <c r="E2" s="7">
        <v>1</v>
      </c>
      <c r="F2" s="7">
        <v>0</v>
      </c>
      <c r="G2" s="7">
        <v>0</v>
      </c>
      <c r="H2" s="7">
        <v>0.5</v>
      </c>
      <c r="I2" s="7">
        <v>0.55555555555555558</v>
      </c>
      <c r="J2" s="7">
        <v>0.66666666666666663</v>
      </c>
      <c r="K2" s="7">
        <v>0.5</v>
      </c>
    </row>
    <row r="3" spans="1:11">
      <c r="A3" s="6">
        <v>0.01</v>
      </c>
      <c r="B3" s="7">
        <v>0.5</v>
      </c>
      <c r="C3" s="7">
        <v>1</v>
      </c>
      <c r="D3" s="7">
        <v>0</v>
      </c>
      <c r="E3" s="7">
        <v>1</v>
      </c>
      <c r="F3" s="7">
        <v>0</v>
      </c>
      <c r="G3" s="7">
        <v>0</v>
      </c>
      <c r="H3" s="7">
        <v>0.5</v>
      </c>
      <c r="I3" s="7">
        <v>0.55555555555555558</v>
      </c>
      <c r="J3" s="7">
        <v>0.66666666666666663</v>
      </c>
      <c r="K3" s="7">
        <v>0.5</v>
      </c>
    </row>
    <row r="4" spans="1:11">
      <c r="A4" s="6">
        <v>0.02</v>
      </c>
      <c r="B4" s="7">
        <v>0.5</v>
      </c>
      <c r="C4" s="7">
        <v>1</v>
      </c>
      <c r="D4" s="7">
        <v>0</v>
      </c>
      <c r="E4" s="7">
        <v>1</v>
      </c>
      <c r="F4" s="7">
        <v>0</v>
      </c>
      <c r="G4" s="7">
        <v>0</v>
      </c>
      <c r="H4" s="7">
        <v>0.5</v>
      </c>
      <c r="I4" s="7">
        <v>0.55555555555555558</v>
      </c>
      <c r="J4" s="7">
        <v>0.66666666666666663</v>
      </c>
      <c r="K4" s="7">
        <v>0.5</v>
      </c>
    </row>
    <row r="5" spans="1:11">
      <c r="A5" s="6">
        <v>0.03</v>
      </c>
      <c r="B5" s="7">
        <v>0.5</v>
      </c>
      <c r="C5" s="7">
        <v>1</v>
      </c>
      <c r="D5" s="7">
        <v>0</v>
      </c>
      <c r="E5" s="7">
        <v>1</v>
      </c>
      <c r="F5" s="7">
        <v>0</v>
      </c>
      <c r="G5" s="7">
        <v>0</v>
      </c>
      <c r="H5" s="7">
        <v>0.5</v>
      </c>
      <c r="I5" s="7">
        <v>0.55555555555555558</v>
      </c>
      <c r="J5" s="7">
        <v>0.66666666666666663</v>
      </c>
      <c r="K5" s="7">
        <v>0.5</v>
      </c>
    </row>
    <row r="6" spans="1:11">
      <c r="A6" s="6">
        <v>0.04</v>
      </c>
      <c r="B6" s="7">
        <v>0.5</v>
      </c>
      <c r="C6" s="7">
        <v>1</v>
      </c>
      <c r="D6" s="7">
        <v>0</v>
      </c>
      <c r="E6" s="7">
        <v>1</v>
      </c>
      <c r="F6" s="7">
        <v>0</v>
      </c>
      <c r="G6" s="7">
        <v>0</v>
      </c>
      <c r="H6" s="7">
        <v>0.5</v>
      </c>
      <c r="I6" s="7">
        <v>0.55555555555555558</v>
      </c>
      <c r="J6" s="7">
        <v>0.66666666666666663</v>
      </c>
      <c r="K6" s="7">
        <v>0.5</v>
      </c>
    </row>
    <row r="7" spans="1:11">
      <c r="A7" s="6">
        <v>0.05</v>
      </c>
      <c r="B7" s="7">
        <v>0.5</v>
      </c>
      <c r="C7" s="7">
        <v>1</v>
      </c>
      <c r="D7" s="7">
        <v>0</v>
      </c>
      <c r="E7" s="7">
        <v>1</v>
      </c>
      <c r="F7" s="7">
        <v>0</v>
      </c>
      <c r="G7" s="7">
        <v>0</v>
      </c>
      <c r="H7" s="7">
        <v>0.5</v>
      </c>
      <c r="I7" s="7">
        <v>0.55555555555555558</v>
      </c>
      <c r="J7" s="7">
        <v>0.66666666666666663</v>
      </c>
      <c r="K7" s="7">
        <v>0.5</v>
      </c>
    </row>
    <row r="8" spans="1:11">
      <c r="A8" s="6">
        <v>6.0000000000000005E-2</v>
      </c>
      <c r="B8" s="7">
        <v>0.5</v>
      </c>
      <c r="C8" s="7">
        <v>1</v>
      </c>
      <c r="D8" s="7">
        <v>0</v>
      </c>
      <c r="E8" s="7">
        <v>1</v>
      </c>
      <c r="F8" s="7">
        <v>0</v>
      </c>
      <c r="G8" s="7">
        <v>0</v>
      </c>
      <c r="H8" s="7">
        <v>0.5</v>
      </c>
      <c r="I8" s="7">
        <v>0.55555555555555558</v>
      </c>
      <c r="J8" s="7">
        <v>0.66666666666666663</v>
      </c>
      <c r="K8" s="7">
        <v>0.5</v>
      </c>
    </row>
    <row r="9" spans="1:11">
      <c r="A9" s="6">
        <v>7.0000000000000007E-2</v>
      </c>
      <c r="B9" s="7">
        <v>0.5</v>
      </c>
      <c r="C9" s="7">
        <v>1</v>
      </c>
      <c r="D9" s="7">
        <v>0</v>
      </c>
      <c r="E9" s="7">
        <v>1</v>
      </c>
      <c r="F9" s="7">
        <v>0</v>
      </c>
      <c r="G9" s="7">
        <v>0</v>
      </c>
      <c r="H9" s="7">
        <v>0.5</v>
      </c>
      <c r="I9" s="7">
        <v>0.55555555555555558</v>
      </c>
      <c r="J9" s="7">
        <v>0.66666666666666663</v>
      </c>
      <c r="K9" s="7">
        <v>0.5</v>
      </c>
    </row>
    <row r="10" spans="1:11">
      <c r="A10" s="6">
        <v>0.08</v>
      </c>
      <c r="B10" s="7">
        <v>0.5</v>
      </c>
      <c r="C10" s="7">
        <v>1</v>
      </c>
      <c r="D10" s="7">
        <v>0</v>
      </c>
      <c r="E10" s="7">
        <v>1</v>
      </c>
      <c r="F10" s="7">
        <v>0</v>
      </c>
      <c r="G10" s="7">
        <v>0</v>
      </c>
      <c r="H10" s="7">
        <v>0.5</v>
      </c>
      <c r="I10" s="7">
        <v>0.55555555555555558</v>
      </c>
      <c r="J10" s="7">
        <v>0.66666666666666663</v>
      </c>
      <c r="K10" s="7">
        <v>0.5</v>
      </c>
    </row>
    <row r="11" spans="1:11">
      <c r="A11" s="6">
        <v>0.09</v>
      </c>
      <c r="B11" s="7">
        <v>0.5</v>
      </c>
      <c r="C11" s="7">
        <v>1</v>
      </c>
      <c r="D11" s="7">
        <v>0</v>
      </c>
      <c r="E11" s="7">
        <v>1</v>
      </c>
      <c r="F11" s="7">
        <v>0</v>
      </c>
      <c r="G11" s="7">
        <v>0</v>
      </c>
      <c r="H11" s="7">
        <v>0.5</v>
      </c>
      <c r="I11" s="7">
        <v>0.55555555555555558</v>
      </c>
      <c r="J11" s="7">
        <v>0.66666666666666663</v>
      </c>
      <c r="K11" s="7">
        <v>0.5</v>
      </c>
    </row>
    <row r="12" spans="1:11">
      <c r="A12" s="6">
        <v>9.9999999999999992E-2</v>
      </c>
      <c r="B12" s="7">
        <v>0.5</v>
      </c>
      <c r="C12" s="7">
        <v>1</v>
      </c>
      <c r="D12" s="7">
        <v>0</v>
      </c>
      <c r="E12" s="7">
        <v>1</v>
      </c>
      <c r="F12" s="7">
        <v>0</v>
      </c>
      <c r="G12" s="7">
        <v>0</v>
      </c>
      <c r="H12" s="7">
        <v>0.5</v>
      </c>
      <c r="I12" s="7">
        <v>0.55555555555555558</v>
      </c>
      <c r="J12" s="7">
        <v>0.66666666666666663</v>
      </c>
      <c r="K12" s="7">
        <v>0.5</v>
      </c>
    </row>
    <row r="13" spans="1:11">
      <c r="A13" s="6">
        <v>0.10999999999999999</v>
      </c>
      <c r="B13" s="7">
        <v>0.5</v>
      </c>
      <c r="C13" s="7">
        <v>1</v>
      </c>
      <c r="D13" s="7">
        <v>0</v>
      </c>
      <c r="E13" s="7">
        <v>1</v>
      </c>
      <c r="F13" s="7">
        <v>0</v>
      </c>
      <c r="G13" s="7">
        <v>0</v>
      </c>
      <c r="H13" s="7">
        <v>0.5</v>
      </c>
      <c r="I13" s="7">
        <v>0.55555555555555558</v>
      </c>
      <c r="J13" s="7">
        <v>0.66666666666666663</v>
      </c>
      <c r="K13" s="7">
        <v>0.5</v>
      </c>
    </row>
    <row r="14" spans="1:11">
      <c r="A14" s="6">
        <v>0.11999999999999998</v>
      </c>
      <c r="B14" s="7">
        <v>0.5</v>
      </c>
      <c r="C14" s="7">
        <v>1</v>
      </c>
      <c r="D14" s="7">
        <v>0</v>
      </c>
      <c r="E14" s="7">
        <v>1</v>
      </c>
      <c r="F14" s="7">
        <v>0</v>
      </c>
      <c r="G14" s="7">
        <v>0</v>
      </c>
      <c r="H14" s="7">
        <v>0.5</v>
      </c>
      <c r="I14" s="7">
        <v>0.55555555555555558</v>
      </c>
      <c r="J14" s="7">
        <v>0.66666666666666663</v>
      </c>
      <c r="K14" s="7">
        <v>0.5</v>
      </c>
    </row>
    <row r="15" spans="1:11">
      <c r="A15" s="6">
        <v>0.12999999999999998</v>
      </c>
      <c r="B15" s="7">
        <v>0.5</v>
      </c>
      <c r="C15" s="7">
        <v>1</v>
      </c>
      <c r="D15" s="7">
        <v>0</v>
      </c>
      <c r="E15" s="7">
        <v>1</v>
      </c>
      <c r="F15" s="7">
        <v>0</v>
      </c>
      <c r="G15" s="7">
        <v>0</v>
      </c>
      <c r="H15" s="7">
        <v>0.5</v>
      </c>
      <c r="I15" s="7">
        <v>0.55555555555555558</v>
      </c>
      <c r="J15" s="7">
        <v>0.66666666666666663</v>
      </c>
      <c r="K15" s="7">
        <v>0.5</v>
      </c>
    </row>
    <row r="16" spans="1:11">
      <c r="A16" s="6">
        <v>0.13999999999999999</v>
      </c>
      <c r="B16" s="7">
        <v>0.5</v>
      </c>
      <c r="C16" s="7">
        <v>1</v>
      </c>
      <c r="D16" s="7">
        <v>0</v>
      </c>
      <c r="E16" s="7">
        <v>1</v>
      </c>
      <c r="F16" s="7">
        <v>0</v>
      </c>
      <c r="G16" s="7">
        <v>0</v>
      </c>
      <c r="H16" s="7">
        <v>0.5</v>
      </c>
      <c r="I16" s="7">
        <v>0.55555555555555558</v>
      </c>
      <c r="J16" s="7">
        <v>0.66666666666666663</v>
      </c>
      <c r="K16" s="7">
        <v>0.5</v>
      </c>
    </row>
    <row r="17" spans="1:11">
      <c r="A17" s="6">
        <v>0.15</v>
      </c>
      <c r="B17" s="7">
        <v>0.5</v>
      </c>
      <c r="C17" s="7">
        <v>1</v>
      </c>
      <c r="D17" s="7">
        <v>0</v>
      </c>
      <c r="E17" s="7">
        <v>1</v>
      </c>
      <c r="F17" s="7">
        <v>0</v>
      </c>
      <c r="G17" s="7">
        <v>0</v>
      </c>
      <c r="H17" s="7">
        <v>0.5</v>
      </c>
      <c r="I17" s="7">
        <v>0.55555555555555558</v>
      </c>
      <c r="J17" s="7">
        <v>0.66666666666666663</v>
      </c>
      <c r="K17" s="7">
        <v>0.5</v>
      </c>
    </row>
    <row r="18" spans="1:11">
      <c r="A18" s="6">
        <v>0.16</v>
      </c>
      <c r="B18" s="7">
        <v>0.5</v>
      </c>
      <c r="C18" s="7">
        <v>1</v>
      </c>
      <c r="D18" s="7">
        <v>0</v>
      </c>
      <c r="E18" s="7">
        <v>1</v>
      </c>
      <c r="F18" s="7">
        <v>0</v>
      </c>
      <c r="G18" s="7">
        <v>0</v>
      </c>
      <c r="H18" s="7">
        <v>0.5</v>
      </c>
      <c r="I18" s="7">
        <v>0.55555555555555558</v>
      </c>
      <c r="J18" s="7">
        <v>0.66666666666666663</v>
      </c>
      <c r="K18" s="7">
        <v>0.5</v>
      </c>
    </row>
    <row r="19" spans="1:11">
      <c r="A19" s="6">
        <v>0.17</v>
      </c>
      <c r="B19" s="7">
        <v>0.5</v>
      </c>
      <c r="C19" s="7">
        <v>1</v>
      </c>
      <c r="D19" s="7">
        <v>0</v>
      </c>
      <c r="E19" s="7">
        <v>1</v>
      </c>
      <c r="F19" s="7">
        <v>0</v>
      </c>
      <c r="G19" s="7">
        <v>0</v>
      </c>
      <c r="H19" s="7">
        <v>0.5</v>
      </c>
      <c r="I19" s="7">
        <v>0.55555555555555558</v>
      </c>
      <c r="J19" s="7">
        <v>0.66666666666666663</v>
      </c>
      <c r="K19" s="7">
        <v>0.5</v>
      </c>
    </row>
    <row r="20" spans="1:11">
      <c r="A20" s="6">
        <v>0.18000000000000002</v>
      </c>
      <c r="B20" s="7">
        <v>0.50030972537683249</v>
      </c>
      <c r="C20" s="7">
        <v>1</v>
      </c>
      <c r="D20" s="7">
        <v>6.1945075366508359E-4</v>
      </c>
      <c r="E20" s="7">
        <v>0.9993805492463349</v>
      </c>
      <c r="F20" s="7">
        <v>0</v>
      </c>
      <c r="G20" s="7">
        <v>6.1945075366508359E-4</v>
      </c>
      <c r="H20" s="7">
        <v>0.49984508933181865</v>
      </c>
      <c r="I20" s="7">
        <v>0.5557085484796328</v>
      </c>
      <c r="J20" s="7">
        <v>0.66680435081922074</v>
      </c>
      <c r="K20" s="7">
        <v>0.49969027462316751</v>
      </c>
    </row>
    <row r="21" spans="1:11">
      <c r="A21" s="6">
        <v>0.19000000000000003</v>
      </c>
      <c r="B21" s="7">
        <v>0.5006194507536651</v>
      </c>
      <c r="C21" s="7">
        <v>1</v>
      </c>
      <c r="D21" s="7">
        <v>1.2389015073301672E-3</v>
      </c>
      <c r="E21" s="7">
        <v>0.99876109849266981</v>
      </c>
      <c r="F21" s="7">
        <v>0</v>
      </c>
      <c r="G21" s="7">
        <v>1.2389015073301672E-3</v>
      </c>
      <c r="H21" s="7">
        <v>0.49969008264462811</v>
      </c>
      <c r="I21" s="7">
        <v>0.55586162569152719</v>
      </c>
      <c r="J21" s="7">
        <v>0.66694209185430009</v>
      </c>
      <c r="K21" s="7">
        <v>0.4993805492463349</v>
      </c>
    </row>
    <row r="22" spans="1:11">
      <c r="A22" s="6">
        <v>0.20000000000000004</v>
      </c>
      <c r="B22" s="7">
        <v>0.50082593433822009</v>
      </c>
      <c r="C22" s="7">
        <v>1</v>
      </c>
      <c r="D22" s="7">
        <v>1.651868676440223E-3</v>
      </c>
      <c r="E22" s="7">
        <v>0.99834813132355982</v>
      </c>
      <c r="F22" s="7">
        <v>0</v>
      </c>
      <c r="G22" s="7">
        <v>1.651868676440223E-3</v>
      </c>
      <c r="H22" s="7">
        <v>0.49958669146517876</v>
      </c>
      <c r="I22" s="7">
        <v>0.55596372402709215</v>
      </c>
      <c r="J22" s="7">
        <v>0.66703395082983263</v>
      </c>
      <c r="K22" s="7">
        <v>0.49917406566177991</v>
      </c>
    </row>
    <row r="23" spans="1:11">
      <c r="A23" s="6">
        <v>0.21000000000000005</v>
      </c>
      <c r="B23" s="7">
        <v>0.50113565971505269</v>
      </c>
      <c r="C23" s="7">
        <v>1</v>
      </c>
      <c r="D23" s="7">
        <v>2.2713194301053068E-3</v>
      </c>
      <c r="E23" s="7">
        <v>0.99772868056989472</v>
      </c>
      <c r="F23" s="7">
        <v>0</v>
      </c>
      <c r="G23" s="7">
        <v>2.2713194301053068E-3</v>
      </c>
      <c r="H23" s="7">
        <v>0.4994315245478036</v>
      </c>
      <c r="I23" s="7">
        <v>0.55611694187355032</v>
      </c>
      <c r="J23" s="7">
        <v>0.6671717867474859</v>
      </c>
      <c r="K23" s="7">
        <v>0.49886434028494731</v>
      </c>
    </row>
    <row r="24" spans="1:11">
      <c r="A24" s="6">
        <v>0.22000000000000006</v>
      </c>
      <c r="B24" s="7">
        <v>0.50185835226099529</v>
      </c>
      <c r="C24" s="7">
        <v>1</v>
      </c>
      <c r="D24" s="7">
        <v>3.716704521990502E-3</v>
      </c>
      <c r="E24" s="7">
        <v>0.99628329547800953</v>
      </c>
      <c r="F24" s="7">
        <v>0</v>
      </c>
      <c r="G24" s="7">
        <v>3.716704521990502E-3</v>
      </c>
      <c r="H24" s="7">
        <v>0.49906909391808024</v>
      </c>
      <c r="I24" s="7">
        <v>0.55647477881190399</v>
      </c>
      <c r="J24" s="7">
        <v>0.66749362552546343</v>
      </c>
      <c r="K24" s="7">
        <v>0.49814164773900471</v>
      </c>
    </row>
    <row r="25" spans="1:11">
      <c r="A25" s="6">
        <v>0.23000000000000007</v>
      </c>
      <c r="B25" s="7">
        <v>0.50299401197604787</v>
      </c>
      <c r="C25" s="7">
        <v>1</v>
      </c>
      <c r="D25" s="7">
        <v>5.9880239520958087E-3</v>
      </c>
      <c r="E25" s="7">
        <v>0.99401197604790414</v>
      </c>
      <c r="F25" s="7">
        <v>0</v>
      </c>
      <c r="G25" s="7">
        <v>5.9880239520958087E-3</v>
      </c>
      <c r="H25" s="7">
        <v>0.49849849849849848</v>
      </c>
      <c r="I25" s="7">
        <v>0.5570380253502335</v>
      </c>
      <c r="J25" s="7">
        <v>0.66800000000000004</v>
      </c>
      <c r="K25" s="7">
        <v>0.49700598802395213</v>
      </c>
    </row>
    <row r="26" spans="1:11">
      <c r="A26" s="6">
        <v>0.24000000000000007</v>
      </c>
      <c r="B26" s="7">
        <v>0.50516208961387565</v>
      </c>
      <c r="C26" s="7">
        <v>1</v>
      </c>
      <c r="D26" s="7">
        <v>1.0324179227751393E-2</v>
      </c>
      <c r="E26" s="7">
        <v>0.98967582077224858</v>
      </c>
      <c r="F26" s="7">
        <v>0</v>
      </c>
      <c r="G26" s="7">
        <v>1.0324179227751393E-2</v>
      </c>
      <c r="H26" s="7">
        <v>0.49740556247405565</v>
      </c>
      <c r="I26" s="7">
        <v>0.55811648650517431</v>
      </c>
      <c r="J26" s="7">
        <v>0.66896885144001661</v>
      </c>
      <c r="K26" s="7">
        <v>0.49483791038612435</v>
      </c>
    </row>
    <row r="27" spans="1:11">
      <c r="A27" s="6">
        <v>0.25000000000000006</v>
      </c>
      <c r="B27" s="7">
        <v>0.50712368366714844</v>
      </c>
      <c r="C27" s="7">
        <v>0.999793516415445</v>
      </c>
      <c r="D27" s="7">
        <v>1.4453850918851952E-2</v>
      </c>
      <c r="E27" s="7">
        <v>0.98554614908114802</v>
      </c>
      <c r="F27" s="7">
        <v>2.0648358455502787E-4</v>
      </c>
      <c r="G27" s="7">
        <v>1.4247367334296957E-2</v>
      </c>
      <c r="H27" s="7">
        <v>0.49641185647425895</v>
      </c>
      <c r="I27" s="7">
        <v>0.55908366625868877</v>
      </c>
      <c r="J27" s="7">
        <v>0.66980218564116756</v>
      </c>
      <c r="K27" s="7">
        <v>0.49287631633285156</v>
      </c>
    </row>
    <row r="28" spans="1:11">
      <c r="A28" s="6">
        <v>0.26000000000000006</v>
      </c>
      <c r="B28" s="7">
        <v>0.51032417922775142</v>
      </c>
      <c r="C28" s="7">
        <v>0.99896758207722491</v>
      </c>
      <c r="D28" s="7">
        <v>2.1680776378277925E-2</v>
      </c>
      <c r="E28" s="7">
        <v>0.97831922362172208</v>
      </c>
      <c r="F28" s="7">
        <v>1.0324179227751394E-3</v>
      </c>
      <c r="G28" s="7">
        <v>2.0648358455502839E-2</v>
      </c>
      <c r="H28" s="7">
        <v>0.49477861319966582</v>
      </c>
      <c r="I28" s="7">
        <v>0.56064152780031051</v>
      </c>
      <c r="J28" s="7">
        <v>0.67105901934946943</v>
      </c>
      <c r="K28" s="7">
        <v>0.48967582077224858</v>
      </c>
    </row>
    <row r="29" spans="1:11">
      <c r="A29" s="6">
        <v>0.27000000000000007</v>
      </c>
      <c r="B29" s="7">
        <v>0.51445385091885198</v>
      </c>
      <c r="C29" s="7">
        <v>0.99876109849266981</v>
      </c>
      <c r="D29" s="7">
        <v>3.0146603345034068E-2</v>
      </c>
      <c r="E29" s="7">
        <v>0.96985339665496595</v>
      </c>
      <c r="F29" s="7">
        <v>1.2389015073301672E-3</v>
      </c>
      <c r="G29" s="7">
        <v>2.8907701837703876E-2</v>
      </c>
      <c r="H29" s="7">
        <v>0.49265785609397944</v>
      </c>
      <c r="I29" s="7">
        <v>0.56271667558575122</v>
      </c>
      <c r="J29" s="7">
        <v>0.67288029491549006</v>
      </c>
      <c r="K29" s="7">
        <v>0.48554614908114802</v>
      </c>
    </row>
    <row r="30" spans="1:11">
      <c r="A30" s="6">
        <v>0.28000000000000008</v>
      </c>
      <c r="B30" s="7">
        <v>0.51909973157134004</v>
      </c>
      <c r="C30" s="7">
        <v>0.99669626264711952</v>
      </c>
      <c r="D30" s="7">
        <v>4.1503200495560603E-2</v>
      </c>
      <c r="E30" s="7">
        <v>0.95849679950443945</v>
      </c>
      <c r="F30" s="7">
        <v>3.303737352880446E-3</v>
      </c>
      <c r="G30" s="7">
        <v>3.8199463142680128E-2</v>
      </c>
      <c r="H30" s="7">
        <v>0.49023128102228325</v>
      </c>
      <c r="I30" s="7">
        <v>0.56497109014724123</v>
      </c>
      <c r="J30" s="7">
        <v>0.67453884851872559</v>
      </c>
      <c r="K30" s="7">
        <v>0.48090026842865996</v>
      </c>
    </row>
    <row r="31" spans="1:11">
      <c r="A31" s="6">
        <v>0.29000000000000009</v>
      </c>
      <c r="B31" s="7">
        <v>0.5238488540161057</v>
      </c>
      <c r="C31" s="7">
        <v>0.99504439397067934</v>
      </c>
      <c r="D31" s="7">
        <v>5.2653314061532105E-2</v>
      </c>
      <c r="E31" s="7">
        <v>0.94734668593846794</v>
      </c>
      <c r="F31" s="7">
        <v>4.9556060293206687E-3</v>
      </c>
      <c r="G31" s="7">
        <v>4.7697708032211447E-2</v>
      </c>
      <c r="H31" s="7">
        <v>0.48772190921654085</v>
      </c>
      <c r="I31" s="7">
        <v>0.56732829460102185</v>
      </c>
      <c r="J31" s="7">
        <v>0.67635087719298248</v>
      </c>
      <c r="K31" s="7">
        <v>0.4761511459838943</v>
      </c>
    </row>
    <row r="32" spans="1:11">
      <c r="A32" s="6">
        <v>0.3000000000000001</v>
      </c>
      <c r="B32" s="7">
        <v>0.53086929589097664</v>
      </c>
      <c r="C32" s="7">
        <v>0.99236010737146396</v>
      </c>
      <c r="D32" s="7">
        <v>6.9378484410489369E-2</v>
      </c>
      <c r="E32" s="7">
        <v>0.93062151558951067</v>
      </c>
      <c r="F32" s="7">
        <v>7.6398926285360311E-3</v>
      </c>
      <c r="G32" s="7">
        <v>6.1738591781953331E-2</v>
      </c>
      <c r="H32" s="7">
        <v>0.48394717062171161</v>
      </c>
      <c r="I32" s="7">
        <v>0.57085164508849029</v>
      </c>
      <c r="J32" s="7">
        <v>0.67900536874823392</v>
      </c>
      <c r="K32" s="7">
        <v>0.46913070410902336</v>
      </c>
    </row>
    <row r="33" spans="1:11">
      <c r="A33" s="6">
        <v>0.31000000000000011</v>
      </c>
      <c r="B33" s="7">
        <v>0.53819946314268019</v>
      </c>
      <c r="C33" s="7">
        <v>0.98988230435680369</v>
      </c>
      <c r="D33" s="7">
        <v>8.6516621928556678E-2</v>
      </c>
      <c r="E33" s="7">
        <v>0.91348337807144331</v>
      </c>
      <c r="F33" s="7">
        <v>1.0117695643196365E-2</v>
      </c>
      <c r="G33" s="7">
        <v>7.6398926285360366E-2</v>
      </c>
      <c r="H33" s="7">
        <v>0.47993057062269473</v>
      </c>
      <c r="I33" s="7">
        <v>0.57461344839985617</v>
      </c>
      <c r="J33" s="7">
        <v>0.68188606784723704</v>
      </c>
      <c r="K33" s="7">
        <v>0.46180053685731981</v>
      </c>
    </row>
    <row r="34" spans="1:11">
      <c r="A34" s="6">
        <v>0.32000000000000012</v>
      </c>
      <c r="B34" s="7">
        <v>0.54418748709477593</v>
      </c>
      <c r="C34" s="7">
        <v>0.98575263266570312</v>
      </c>
      <c r="D34" s="7">
        <v>0.10262234152384886</v>
      </c>
      <c r="E34" s="7">
        <v>0.89737765847615114</v>
      </c>
      <c r="F34" s="7">
        <v>1.4247367334296924E-2</v>
      </c>
      <c r="G34" s="7">
        <v>8.837497418955198E-2</v>
      </c>
      <c r="H34" s="7">
        <v>0.47653508771929826</v>
      </c>
      <c r="I34" s="7">
        <v>0.57764441110277565</v>
      </c>
      <c r="J34" s="7">
        <v>0.683807204755425</v>
      </c>
      <c r="K34" s="7">
        <v>0.45581251290522407</v>
      </c>
    </row>
    <row r="35" spans="1:11">
      <c r="A35" s="6">
        <v>0.33000000000000013</v>
      </c>
      <c r="B35" s="7">
        <v>0.55141441255420198</v>
      </c>
      <c r="C35" s="7">
        <v>0.98100351022093746</v>
      </c>
      <c r="D35" s="7">
        <v>0.12182531488746645</v>
      </c>
      <c r="E35" s="7">
        <v>0.8781746851125336</v>
      </c>
      <c r="F35" s="7">
        <v>1.8996489779062563E-2</v>
      </c>
      <c r="G35" s="7">
        <v>0.10282882510840391</v>
      </c>
      <c r="H35" s="7">
        <v>0.47234562416703685</v>
      </c>
      <c r="I35" s="7">
        <v>0.58138965711348789</v>
      </c>
      <c r="J35" s="7">
        <v>0.68621362027876076</v>
      </c>
      <c r="K35" s="7">
        <v>0.44858558744579802</v>
      </c>
    </row>
    <row r="36" spans="1:11">
      <c r="A36" s="6">
        <v>0.34000000000000014</v>
      </c>
      <c r="B36" s="7">
        <v>0.55915754697501552</v>
      </c>
      <c r="C36" s="7">
        <v>0.97646087136072679</v>
      </c>
      <c r="D36" s="7">
        <v>0.14185422258930416</v>
      </c>
      <c r="E36" s="7">
        <v>0.85814577741069586</v>
      </c>
      <c r="F36" s="7">
        <v>2.3539128639273179E-2</v>
      </c>
      <c r="G36" s="7">
        <v>0.11831509395003095</v>
      </c>
      <c r="H36" s="7">
        <v>0.46775464265616207</v>
      </c>
      <c r="I36" s="7">
        <v>0.58551865884159171</v>
      </c>
      <c r="J36" s="7">
        <v>0.68895687645687642</v>
      </c>
      <c r="K36" s="7">
        <v>0.44084245302498448</v>
      </c>
    </row>
    <row r="37" spans="1:11">
      <c r="A37" s="6">
        <v>0.35000000000000014</v>
      </c>
      <c r="B37" s="7">
        <v>0.56958496799504443</v>
      </c>
      <c r="C37" s="7">
        <v>0.97026636382407594</v>
      </c>
      <c r="D37" s="7">
        <v>0.16890357216601279</v>
      </c>
      <c r="E37" s="7">
        <v>0.83109642783398718</v>
      </c>
      <c r="F37" s="7">
        <v>2.9733636175924016E-2</v>
      </c>
      <c r="G37" s="7">
        <v>0.13916993599008873</v>
      </c>
      <c r="H37" s="7">
        <v>0.46137093076570379</v>
      </c>
      <c r="I37" s="7">
        <v>0.59123279398072426</v>
      </c>
      <c r="J37" s="7">
        <v>0.69271025281934107</v>
      </c>
      <c r="K37" s="7">
        <v>0.43041503200495557</v>
      </c>
    </row>
    <row r="38" spans="1:11">
      <c r="A38" s="6">
        <v>0.36000000000000015</v>
      </c>
      <c r="B38" s="7">
        <v>0.57980590543051824</v>
      </c>
      <c r="C38" s="7">
        <v>0.96097460251909972</v>
      </c>
      <c r="D38" s="7">
        <v>0.19863720834193682</v>
      </c>
      <c r="E38" s="7">
        <v>0.80136279165806323</v>
      </c>
      <c r="F38" s="7">
        <v>3.9025397480900267E-2</v>
      </c>
      <c r="G38" s="7">
        <v>0.15961181086103654</v>
      </c>
      <c r="H38" s="7">
        <v>0.45471587580550676</v>
      </c>
      <c r="I38" s="7">
        <v>0.59692686555678121</v>
      </c>
      <c r="J38" s="7">
        <v>0.69576917326954701</v>
      </c>
      <c r="K38" s="7">
        <v>0.42019409456948176</v>
      </c>
    </row>
    <row r="39" spans="1:11">
      <c r="A39" s="6">
        <v>0.37000000000000016</v>
      </c>
      <c r="B39" s="7">
        <v>0.59002684286599216</v>
      </c>
      <c r="C39" s="7">
        <v>0.95023745612223831</v>
      </c>
      <c r="D39" s="7">
        <v>0.22981622960974601</v>
      </c>
      <c r="E39" s="7">
        <v>0.77018377039025399</v>
      </c>
      <c r="F39" s="7">
        <v>4.9762543877761717E-2</v>
      </c>
      <c r="G39" s="7">
        <v>0.18005368573198433</v>
      </c>
      <c r="H39" s="7">
        <v>0.44767162746039368</v>
      </c>
      <c r="I39" s="7">
        <v>0.60281365434492151</v>
      </c>
      <c r="J39" s="7">
        <v>0.69859582542694498</v>
      </c>
      <c r="K39" s="7">
        <v>0.40997315713400784</v>
      </c>
    </row>
    <row r="40" spans="1:11">
      <c r="A40" s="6">
        <v>0.38000000000000017</v>
      </c>
      <c r="B40" s="7">
        <v>0.59993805492463348</v>
      </c>
      <c r="C40" s="7">
        <v>0.93826140821804671</v>
      </c>
      <c r="D40" s="7">
        <v>0.2616147016312203</v>
      </c>
      <c r="E40" s="7">
        <v>0.73838529836877975</v>
      </c>
      <c r="F40" s="7">
        <v>6.1738591781953338E-2</v>
      </c>
      <c r="G40" s="7">
        <v>0.19987610984926701</v>
      </c>
      <c r="H40" s="7">
        <v>0.44039408866995072</v>
      </c>
      <c r="I40" s="7">
        <v>0.60873991908474667</v>
      </c>
      <c r="J40" s="7">
        <v>0.70107228265062105</v>
      </c>
      <c r="K40" s="7">
        <v>0.40006194507536652</v>
      </c>
    </row>
    <row r="41" spans="1:11">
      <c r="A41" s="6">
        <v>0.39000000000000018</v>
      </c>
      <c r="B41" s="7">
        <v>0.6101589923601074</v>
      </c>
      <c r="C41" s="7">
        <v>0.92339459013008462</v>
      </c>
      <c r="D41" s="7">
        <v>0.29692339459013006</v>
      </c>
      <c r="E41" s="7">
        <v>0.70307660540986994</v>
      </c>
      <c r="F41" s="7">
        <v>7.6605409869915347E-2</v>
      </c>
      <c r="G41" s="7">
        <v>0.22031798472021469</v>
      </c>
      <c r="H41" s="7">
        <v>0.43227116922686304</v>
      </c>
      <c r="I41" s="7">
        <v>0.61511375202883001</v>
      </c>
      <c r="J41" s="7">
        <v>0.70314465408805027</v>
      </c>
      <c r="K41" s="7">
        <v>0.3898410076398926</v>
      </c>
    </row>
    <row r="42" spans="1:11">
      <c r="A42" s="6">
        <v>0.40000000000000019</v>
      </c>
      <c r="B42" s="7">
        <v>0.62058641338013631</v>
      </c>
      <c r="C42" s="7">
        <v>0.90501755110468718</v>
      </c>
      <c r="D42" s="7">
        <v>0.33615527565558539</v>
      </c>
      <c r="E42" s="7">
        <v>0.66384472434441455</v>
      </c>
      <c r="F42" s="7">
        <v>9.4982448895312821E-2</v>
      </c>
      <c r="G42" s="7">
        <v>0.24117282676027257</v>
      </c>
      <c r="H42" s="7">
        <v>0.42313766780731771</v>
      </c>
      <c r="I42" s="7">
        <v>0.62196679438058744</v>
      </c>
      <c r="J42" s="7">
        <v>0.70460573908849766</v>
      </c>
      <c r="K42" s="7">
        <v>0.37941358661986369</v>
      </c>
    </row>
    <row r="43" spans="1:11">
      <c r="A43" s="6">
        <v>0.4100000000000002</v>
      </c>
      <c r="B43" s="7">
        <v>0.62781333883956225</v>
      </c>
      <c r="C43" s="7">
        <v>0.88560809415651454</v>
      </c>
      <c r="D43" s="7">
        <v>0.37001858352260997</v>
      </c>
      <c r="E43" s="7">
        <v>0.62998141647739003</v>
      </c>
      <c r="F43" s="7">
        <v>0.11439190584348544</v>
      </c>
      <c r="G43" s="7">
        <v>0.2556266776791245</v>
      </c>
      <c r="H43" s="7">
        <v>0.41566757493188011</v>
      </c>
      <c r="I43" s="7">
        <v>0.62699178434640235</v>
      </c>
      <c r="J43" s="7">
        <v>0.70409587129606832</v>
      </c>
      <c r="K43" s="7">
        <v>0.37218666116043775</v>
      </c>
    </row>
    <row r="44" spans="1:11">
      <c r="A44" s="6">
        <v>0.42000000000000021</v>
      </c>
      <c r="B44" s="7">
        <v>0.63627916580631838</v>
      </c>
      <c r="C44" s="7">
        <v>0.8659921536237869</v>
      </c>
      <c r="D44" s="7">
        <v>0.40656617798884986</v>
      </c>
      <c r="E44" s="7">
        <v>0.59343382201115014</v>
      </c>
      <c r="F44" s="7">
        <v>0.1340078463762131</v>
      </c>
      <c r="G44" s="7">
        <v>0.27255833161263676</v>
      </c>
      <c r="H44" s="7">
        <v>0.40662139219015281</v>
      </c>
      <c r="I44" s="7">
        <v>0.63324777291257739</v>
      </c>
      <c r="J44" s="7">
        <v>0.70422298715473097</v>
      </c>
      <c r="K44" s="7">
        <v>0.36372083419368162</v>
      </c>
    </row>
    <row r="45" spans="1:11">
      <c r="A45" s="6">
        <v>0.43000000000000022</v>
      </c>
      <c r="B45" s="7">
        <v>0.64092504645880655</v>
      </c>
      <c r="C45" s="7">
        <v>0.84327895932273389</v>
      </c>
      <c r="D45" s="7">
        <v>0.4385711335948792</v>
      </c>
      <c r="E45" s="7">
        <v>0.5614288664051208</v>
      </c>
      <c r="F45" s="7">
        <v>0.15672104067726617</v>
      </c>
      <c r="G45" s="7">
        <v>0.28185009291761309</v>
      </c>
      <c r="H45" s="7">
        <v>0.39967661325885639</v>
      </c>
      <c r="I45" s="7">
        <v>0.63703010450787712</v>
      </c>
      <c r="J45" s="7">
        <v>0.7013566889919286</v>
      </c>
      <c r="K45" s="7">
        <v>0.35907495354119345</v>
      </c>
    </row>
    <row r="46" spans="1:11">
      <c r="A46" s="6">
        <v>0.44000000000000022</v>
      </c>
      <c r="B46" s="7">
        <v>0.64877142267189758</v>
      </c>
      <c r="C46" s="7">
        <v>0.82201115011356596</v>
      </c>
      <c r="D46" s="7">
        <v>0.4755316952302292</v>
      </c>
      <c r="E46" s="7">
        <v>0.5244683047697708</v>
      </c>
      <c r="F46" s="7">
        <v>0.17798884988643404</v>
      </c>
      <c r="G46" s="7">
        <v>0.29754284534379516</v>
      </c>
      <c r="H46" s="7">
        <v>0.3895108112252722</v>
      </c>
      <c r="I46" s="7">
        <v>0.64361237753419342</v>
      </c>
      <c r="J46" s="7">
        <v>0.70063357972544882</v>
      </c>
      <c r="K46" s="7">
        <v>0.35122857732810242</v>
      </c>
    </row>
    <row r="47" spans="1:11">
      <c r="A47" s="6">
        <v>0.45000000000000023</v>
      </c>
      <c r="B47" s="7">
        <v>0.65444972124716083</v>
      </c>
      <c r="C47" s="7">
        <v>0.79103861243031182</v>
      </c>
      <c r="D47" s="7">
        <v>0.51786083006400996</v>
      </c>
      <c r="E47" s="7">
        <v>0.48213916993599004</v>
      </c>
      <c r="F47" s="7">
        <v>0.20896138756968821</v>
      </c>
      <c r="G47" s="7">
        <v>0.30889944249432177</v>
      </c>
      <c r="H47" s="7">
        <v>0.37868958806357444</v>
      </c>
      <c r="I47" s="7">
        <v>0.64916799403531367</v>
      </c>
      <c r="J47" s="7">
        <v>0.69597601962031064</v>
      </c>
      <c r="K47" s="7">
        <v>0.34555027875283917</v>
      </c>
    </row>
    <row r="48" spans="1:11">
      <c r="A48" s="6">
        <v>0.46000000000000024</v>
      </c>
      <c r="B48" s="7">
        <v>0.66023126161470158</v>
      </c>
      <c r="C48" s="7">
        <v>0.76378277926904814</v>
      </c>
      <c r="D48" s="7">
        <v>0.55667974396035513</v>
      </c>
      <c r="E48" s="7">
        <v>0.44332025603964487</v>
      </c>
      <c r="F48" s="7">
        <v>0.23621722073095189</v>
      </c>
      <c r="G48" s="7">
        <v>0.32046252322940327</v>
      </c>
      <c r="H48" s="7">
        <v>0.36725966472801913</v>
      </c>
      <c r="I48" s="7">
        <v>0.65522372196832823</v>
      </c>
      <c r="J48" s="7">
        <v>0.69211338759472352</v>
      </c>
      <c r="K48" s="7">
        <v>0.33976873838529842</v>
      </c>
    </row>
    <row r="49" spans="1:11">
      <c r="A49" s="6">
        <v>0.47000000000000025</v>
      </c>
      <c r="B49" s="7">
        <v>0.66301879000619446</v>
      </c>
      <c r="C49" s="7">
        <v>0.73487507743134417</v>
      </c>
      <c r="D49" s="7">
        <v>0.59116250258104486</v>
      </c>
      <c r="E49" s="7">
        <v>0.40883749741895514</v>
      </c>
      <c r="F49" s="7">
        <v>0.26512492256865577</v>
      </c>
      <c r="G49" s="7">
        <v>0.32603758001238903</v>
      </c>
      <c r="H49" s="7">
        <v>0.35746524643437444</v>
      </c>
      <c r="I49" s="7">
        <v>0.65909848512907887</v>
      </c>
      <c r="J49" s="7">
        <v>0.68560970911192454</v>
      </c>
      <c r="K49" s="7">
        <v>0.33698120999380554</v>
      </c>
    </row>
    <row r="50" spans="1:11">
      <c r="A50" s="6">
        <v>0.48000000000000026</v>
      </c>
      <c r="B50" s="7">
        <v>0.66694197811274003</v>
      </c>
      <c r="C50" s="7">
        <v>0.71009704728474088</v>
      </c>
      <c r="D50" s="7">
        <v>0.62378690894073918</v>
      </c>
      <c r="E50" s="7">
        <v>0.37621309105926082</v>
      </c>
      <c r="F50" s="7">
        <v>0.28990295271525912</v>
      </c>
      <c r="G50" s="7">
        <v>0.33388395622548006</v>
      </c>
      <c r="H50" s="7">
        <v>0.34632199201672687</v>
      </c>
      <c r="I50" s="7">
        <v>0.66423301270908175</v>
      </c>
      <c r="J50" s="7">
        <v>0.68072050673000795</v>
      </c>
      <c r="K50" s="7">
        <v>0.33305802188725997</v>
      </c>
    </row>
    <row r="51" spans="1:11">
      <c r="A51" s="6">
        <v>0.49000000000000027</v>
      </c>
      <c r="B51" s="7">
        <v>0.66859384678918021</v>
      </c>
      <c r="C51" s="7">
        <v>0.67664670658682635</v>
      </c>
      <c r="D51" s="7">
        <v>0.66054098699153418</v>
      </c>
      <c r="E51" s="7">
        <v>0.33945901300846582</v>
      </c>
      <c r="F51" s="7">
        <v>0.32335329341317365</v>
      </c>
      <c r="G51" s="7">
        <v>0.33718769357836054</v>
      </c>
      <c r="H51" s="7">
        <v>0.33407843934159726</v>
      </c>
      <c r="I51" s="7">
        <v>0.66803930362457697</v>
      </c>
      <c r="J51" s="7">
        <v>0.67124129455141335</v>
      </c>
      <c r="K51" s="7">
        <v>0.33140615321081979</v>
      </c>
    </row>
    <row r="52" spans="1:11">
      <c r="A52" s="6">
        <v>0.50000000000000022</v>
      </c>
      <c r="B52" s="7">
        <v>0.67262027668800328</v>
      </c>
      <c r="C52" s="7">
        <v>0.64773900474912249</v>
      </c>
      <c r="D52" s="7">
        <v>0.69750154862688418</v>
      </c>
      <c r="E52" s="7">
        <v>0.30249845137311582</v>
      </c>
      <c r="F52" s="7">
        <v>0.35226099525087756</v>
      </c>
      <c r="G52" s="7">
        <v>0.34524055337600668</v>
      </c>
      <c r="H52" s="7">
        <v>0.31833985223815731</v>
      </c>
      <c r="I52" s="7">
        <v>0.67459464109070577</v>
      </c>
      <c r="J52" s="7">
        <v>0.66426680783483327</v>
      </c>
      <c r="K52" s="7">
        <v>0.32737972331199672</v>
      </c>
    </row>
    <row r="53" spans="1:11">
      <c r="A53" s="6">
        <v>0.51000000000000023</v>
      </c>
      <c r="B53" s="7">
        <v>0.66921329754284531</v>
      </c>
      <c r="C53" s="7">
        <v>0.61201734462110258</v>
      </c>
      <c r="D53" s="7">
        <v>0.72640925046458804</v>
      </c>
      <c r="E53" s="7">
        <v>0.27359074953541196</v>
      </c>
      <c r="F53" s="7">
        <v>0.38798265537889737</v>
      </c>
      <c r="G53" s="7">
        <v>0.33842659508569062</v>
      </c>
      <c r="H53" s="7">
        <v>0.30892982047097223</v>
      </c>
      <c r="I53" s="7">
        <v>0.67366698486294829</v>
      </c>
      <c r="J53" s="7">
        <v>0.64914586070959268</v>
      </c>
      <c r="K53" s="7">
        <v>0.33078670245715469</v>
      </c>
    </row>
    <row r="54" spans="1:11">
      <c r="A54" s="6">
        <v>0.52000000000000024</v>
      </c>
      <c r="B54" s="7">
        <v>0.66704521990501753</v>
      </c>
      <c r="C54" s="7">
        <v>0.58125129052240343</v>
      </c>
      <c r="D54" s="7">
        <v>0.75283914928763163</v>
      </c>
      <c r="E54" s="7">
        <v>0.24716085071236837</v>
      </c>
      <c r="F54" s="7">
        <v>0.41874870947759651</v>
      </c>
      <c r="G54" s="7">
        <v>0.33409043981003506</v>
      </c>
      <c r="H54" s="7">
        <v>0.29835493519441675</v>
      </c>
      <c r="I54" s="7">
        <v>0.67373510123976832</v>
      </c>
      <c r="J54" s="7">
        <v>0.63579898362507059</v>
      </c>
      <c r="K54" s="7">
        <v>0.33295478009498247</v>
      </c>
    </row>
    <row r="55" spans="1:11">
      <c r="A55" s="6">
        <v>0.53000000000000025</v>
      </c>
      <c r="B55" s="7">
        <v>0.66487714226718975</v>
      </c>
      <c r="C55" s="7">
        <v>0.5478009498244889</v>
      </c>
      <c r="D55" s="7">
        <v>0.78195333470989059</v>
      </c>
      <c r="E55" s="7">
        <v>0.21804666529010941</v>
      </c>
      <c r="F55" s="7">
        <v>0.45219905017551104</v>
      </c>
      <c r="G55" s="7">
        <v>0.32975428453437949</v>
      </c>
      <c r="H55" s="7">
        <v>0.28471286060932866</v>
      </c>
      <c r="I55" s="7">
        <v>0.67406880430916205</v>
      </c>
      <c r="J55" s="7">
        <v>0.62043966323666977</v>
      </c>
      <c r="K55" s="7">
        <v>0.33512285773281025</v>
      </c>
    </row>
    <row r="56" spans="1:11">
      <c r="A56" s="6">
        <v>0.54000000000000026</v>
      </c>
      <c r="B56" s="7">
        <v>0.66291554821391696</v>
      </c>
      <c r="C56" s="7">
        <v>0.51744786289489986</v>
      </c>
      <c r="D56" s="7">
        <v>0.80838323353293418</v>
      </c>
      <c r="E56" s="7">
        <v>0.19161676646706582</v>
      </c>
      <c r="F56" s="7">
        <v>0.48255213710510014</v>
      </c>
      <c r="G56" s="7">
        <v>0.32583109642783403</v>
      </c>
      <c r="H56" s="7">
        <v>0.27023878858474082</v>
      </c>
      <c r="I56" s="7">
        <v>0.67441735292534577</v>
      </c>
      <c r="J56" s="7">
        <v>0.6055334058233659</v>
      </c>
      <c r="K56" s="7">
        <v>0.33708445178608304</v>
      </c>
    </row>
    <row r="57" spans="1:11">
      <c r="A57" s="6">
        <v>0.55000000000000027</v>
      </c>
      <c r="B57" s="7">
        <v>0.6581664257691513</v>
      </c>
      <c r="C57" s="7">
        <v>0.48668180879620071</v>
      </c>
      <c r="D57" s="7">
        <v>0.829651042742102</v>
      </c>
      <c r="E57" s="7">
        <v>0.170348957257898</v>
      </c>
      <c r="F57" s="7">
        <v>0.51331819120379929</v>
      </c>
      <c r="G57" s="7">
        <v>0.31633285153830271</v>
      </c>
      <c r="H57" s="7">
        <v>0.25927089880578252</v>
      </c>
      <c r="I57" s="7">
        <v>0.6707074156280235</v>
      </c>
      <c r="J57" s="7">
        <v>0.58741433021806855</v>
      </c>
      <c r="K57" s="7">
        <v>0.3418335742308487</v>
      </c>
    </row>
    <row r="58" spans="1:11">
      <c r="A58" s="6">
        <v>0.56000000000000028</v>
      </c>
      <c r="B58" s="7">
        <v>0.65321081973983064</v>
      </c>
      <c r="C58" s="7">
        <v>0.45467685319017137</v>
      </c>
      <c r="D58" s="7">
        <v>0.85174478628949002</v>
      </c>
      <c r="E58" s="7">
        <v>0.14825521371050998</v>
      </c>
      <c r="F58" s="7">
        <v>0.54532314680982863</v>
      </c>
      <c r="G58" s="7">
        <v>0.30642163947966139</v>
      </c>
      <c r="H58" s="7">
        <v>0.2458904109589041</v>
      </c>
      <c r="I58" s="7">
        <v>0.66634388428251523</v>
      </c>
      <c r="J58" s="7">
        <v>0.56730645369058352</v>
      </c>
      <c r="K58" s="7">
        <v>0.34678918026016936</v>
      </c>
    </row>
    <row r="59" spans="1:11">
      <c r="A59" s="6">
        <v>0.57000000000000028</v>
      </c>
      <c r="B59" s="7">
        <v>0.6463968614495148</v>
      </c>
      <c r="C59" s="7">
        <v>0.42391079909147222</v>
      </c>
      <c r="D59" s="7">
        <v>0.86888292380755727</v>
      </c>
      <c r="E59" s="7">
        <v>0.13111707619244273</v>
      </c>
      <c r="F59" s="7">
        <v>0.57608920090852778</v>
      </c>
      <c r="G59" s="7">
        <v>0.2927937228990295</v>
      </c>
      <c r="H59" s="7">
        <v>0.23623511904761904</v>
      </c>
      <c r="I59" s="7">
        <v>0.65822378967617823</v>
      </c>
      <c r="J59" s="7">
        <v>0.54521311910768822</v>
      </c>
      <c r="K59" s="7">
        <v>0.3536031385504852</v>
      </c>
    </row>
    <row r="60" spans="1:11">
      <c r="A60" s="6">
        <v>0.58000000000000029</v>
      </c>
      <c r="B60" s="7">
        <v>0.63772455089820357</v>
      </c>
      <c r="C60" s="7">
        <v>0.38612430311790213</v>
      </c>
      <c r="D60" s="7">
        <v>0.88932479867850511</v>
      </c>
      <c r="E60" s="7">
        <v>0.11067520132149489</v>
      </c>
      <c r="F60" s="7">
        <v>0.61387569688209787</v>
      </c>
      <c r="G60" s="7">
        <v>0.27544910179640725</v>
      </c>
      <c r="H60" s="7">
        <v>0.2227763923524522</v>
      </c>
      <c r="I60" s="7">
        <v>0.64629847238542892</v>
      </c>
      <c r="J60" s="7">
        <v>0.51593323216995446</v>
      </c>
      <c r="K60" s="7">
        <v>0.36227544910179643</v>
      </c>
    </row>
    <row r="61" spans="1:11">
      <c r="A61" s="6">
        <v>0.5900000000000003</v>
      </c>
      <c r="B61" s="7">
        <v>0.62874251497005984</v>
      </c>
      <c r="C61" s="7">
        <v>0.3541193475118728</v>
      </c>
      <c r="D61" s="7">
        <v>0.903365682428247</v>
      </c>
      <c r="E61" s="7">
        <v>9.6634317571753003E-2</v>
      </c>
      <c r="F61" s="7">
        <v>0.6458806524881272</v>
      </c>
      <c r="G61" s="7">
        <v>0.25748502994011979</v>
      </c>
      <c r="H61" s="7">
        <v>0.21438387540082454</v>
      </c>
      <c r="I61" s="7">
        <v>0.63167587476979747</v>
      </c>
      <c r="J61" s="7">
        <v>0.48818673498434384</v>
      </c>
      <c r="K61" s="7">
        <v>0.37125748502994016</v>
      </c>
    </row>
    <row r="62" spans="1:11">
      <c r="A62" s="6">
        <v>0.60000000000000031</v>
      </c>
      <c r="B62" s="7">
        <v>0.62399339252529429</v>
      </c>
      <c r="C62" s="7">
        <v>0.32830889944249431</v>
      </c>
      <c r="D62" s="7">
        <v>0.91967788560809416</v>
      </c>
      <c r="E62" s="7">
        <v>8.0322114391905841E-2</v>
      </c>
      <c r="F62" s="7">
        <v>0.67169110055750569</v>
      </c>
      <c r="G62" s="7">
        <v>0.24798678505058847</v>
      </c>
      <c r="H62" s="7">
        <v>0.19656392117230925</v>
      </c>
      <c r="I62" s="7">
        <v>0.62308958382318369</v>
      </c>
      <c r="J62" s="7">
        <v>0.46613896218117856</v>
      </c>
      <c r="K62" s="7">
        <v>0.37600660747470571</v>
      </c>
    </row>
    <row r="63" spans="1:11">
      <c r="A63" s="6">
        <v>0.61000000000000032</v>
      </c>
      <c r="B63" s="7">
        <v>0.61594053272764815</v>
      </c>
      <c r="C63" s="7">
        <v>0.30084658269667564</v>
      </c>
      <c r="D63" s="7">
        <v>0.93103448275862066</v>
      </c>
      <c r="E63" s="7">
        <v>6.8965517241379337E-2</v>
      </c>
      <c r="F63" s="7">
        <v>0.69915341730332436</v>
      </c>
      <c r="G63" s="7">
        <v>0.2318810654552963</v>
      </c>
      <c r="H63" s="7">
        <v>0.18648799553322165</v>
      </c>
      <c r="I63" s="7">
        <v>0.60672940784542351</v>
      </c>
      <c r="J63" s="7">
        <v>0.43925233644859812</v>
      </c>
      <c r="K63" s="7">
        <v>0.38405946727235185</v>
      </c>
    </row>
    <row r="64" spans="1:11">
      <c r="A64" s="6">
        <v>0.62000000000000033</v>
      </c>
      <c r="B64" s="7">
        <v>0.60809415651455712</v>
      </c>
      <c r="C64" s="7">
        <v>0.2746231674581871</v>
      </c>
      <c r="D64" s="7">
        <v>0.94156514557092708</v>
      </c>
      <c r="E64" s="7">
        <v>5.8434854429072924E-2</v>
      </c>
      <c r="F64" s="7">
        <v>0.72537683254181295</v>
      </c>
      <c r="G64" s="7">
        <v>0.21618831302911423</v>
      </c>
      <c r="H64" s="7">
        <v>0.17544947303161809</v>
      </c>
      <c r="I64" s="7">
        <v>0.58875608676405489</v>
      </c>
      <c r="J64" s="7">
        <v>0.41201982651796776</v>
      </c>
      <c r="K64" s="7">
        <v>0.39190584348544288</v>
      </c>
    </row>
    <row r="65" spans="1:11">
      <c r="A65" s="6">
        <v>0.63000000000000034</v>
      </c>
      <c r="B65" s="7">
        <v>0.59900887879413589</v>
      </c>
      <c r="C65" s="7">
        <v>0.24819326863514352</v>
      </c>
      <c r="D65" s="7">
        <v>0.94982448895312821</v>
      </c>
      <c r="E65" s="7">
        <v>5.017551104687179E-2</v>
      </c>
      <c r="F65" s="7">
        <v>0.75180673136485654</v>
      </c>
      <c r="G65" s="7">
        <v>0.19801775758827178</v>
      </c>
      <c r="H65" s="7">
        <v>0.16816608996539792</v>
      </c>
      <c r="I65" s="7">
        <v>0.56575355361009128</v>
      </c>
      <c r="J65" s="7">
        <v>0.38231552162849874</v>
      </c>
      <c r="K65" s="7">
        <v>0.40099112120586411</v>
      </c>
    </row>
    <row r="66" spans="1:11">
      <c r="A66" s="6">
        <v>0.64000000000000035</v>
      </c>
      <c r="B66" s="7">
        <v>0.59116250258104486</v>
      </c>
      <c r="C66" s="7">
        <v>0.22382820565765021</v>
      </c>
      <c r="D66" s="7">
        <v>0.95849679950443945</v>
      </c>
      <c r="E66" s="7">
        <v>4.1503200495560555E-2</v>
      </c>
      <c r="F66" s="7">
        <v>0.77617179434234973</v>
      </c>
      <c r="G66" s="7">
        <v>0.1823250051620896</v>
      </c>
      <c r="H66" s="7">
        <v>0.15642023346303502</v>
      </c>
      <c r="I66" s="7">
        <v>0.54292296904738058</v>
      </c>
      <c r="J66" s="7">
        <v>0.35378590078328981</v>
      </c>
      <c r="K66" s="7">
        <v>0.40883749741895514</v>
      </c>
    </row>
    <row r="67" spans="1:11">
      <c r="A67" s="6">
        <v>0.65000000000000036</v>
      </c>
      <c r="B67" s="7">
        <v>0.5841420607061738</v>
      </c>
      <c r="C67" s="7">
        <v>0.20317984720214743</v>
      </c>
      <c r="D67" s="7">
        <v>0.96510427421020029</v>
      </c>
      <c r="E67" s="7">
        <v>3.4895725789799714E-2</v>
      </c>
      <c r="F67" s="7">
        <v>0.79682015279785257</v>
      </c>
      <c r="G67" s="7">
        <v>0.16828412141234772</v>
      </c>
      <c r="H67" s="7">
        <v>0.14657415437987859</v>
      </c>
      <c r="I67" s="7">
        <v>0.52035959809624532</v>
      </c>
      <c r="J67" s="7">
        <v>0.32821881254169444</v>
      </c>
      <c r="K67" s="7">
        <v>0.4158579392938262</v>
      </c>
    </row>
    <row r="68" spans="1:11">
      <c r="A68" s="6">
        <v>0.66000000000000036</v>
      </c>
      <c r="B68" s="7">
        <v>0.57815403675407806</v>
      </c>
      <c r="C68" s="7">
        <v>0.18480280817674996</v>
      </c>
      <c r="D68" s="7">
        <v>0.97150526533140613</v>
      </c>
      <c r="E68" s="7">
        <v>2.8494734668593868E-2</v>
      </c>
      <c r="F68" s="7">
        <v>0.81519719182325001</v>
      </c>
      <c r="G68" s="7">
        <v>0.15630807350815612</v>
      </c>
      <c r="H68" s="7">
        <v>0.13359148112294289</v>
      </c>
      <c r="I68" s="7">
        <v>0.49860724233983289</v>
      </c>
      <c r="J68" s="7">
        <v>0.30462899931926479</v>
      </c>
      <c r="K68" s="7">
        <v>0.42184596324592194</v>
      </c>
    </row>
    <row r="69" spans="1:11">
      <c r="A69" s="6">
        <v>0.67000000000000037</v>
      </c>
      <c r="B69" s="7">
        <v>0.56999793516415442</v>
      </c>
      <c r="C69" s="7">
        <v>0.16415444972124715</v>
      </c>
      <c r="D69" s="7">
        <v>0.97584142060706169</v>
      </c>
      <c r="E69" s="7">
        <v>2.4158579392938306E-2</v>
      </c>
      <c r="F69" s="7">
        <v>0.83584555027875285</v>
      </c>
      <c r="G69" s="7">
        <v>0.13999587032830885</v>
      </c>
      <c r="H69" s="7">
        <v>0.12828947368421054</v>
      </c>
      <c r="I69" s="7">
        <v>0.46814273937109879</v>
      </c>
      <c r="J69" s="7">
        <v>0.27628149435273675</v>
      </c>
      <c r="K69" s="7">
        <v>0.43000206483584558</v>
      </c>
    </row>
    <row r="70" spans="1:11">
      <c r="A70" s="6">
        <v>0.68000000000000038</v>
      </c>
      <c r="B70" s="7">
        <v>0.56256452612017349</v>
      </c>
      <c r="C70" s="7">
        <v>0.14474499277307454</v>
      </c>
      <c r="D70" s="7">
        <v>0.98038405946727236</v>
      </c>
      <c r="E70" s="7">
        <v>1.9615940532727638E-2</v>
      </c>
      <c r="F70" s="7">
        <v>0.85525500722692549</v>
      </c>
      <c r="G70" s="7">
        <v>0.12512905224034687</v>
      </c>
      <c r="H70" s="7">
        <v>0.11934673366834171</v>
      </c>
      <c r="I70" s="7">
        <v>0.43665130185623519</v>
      </c>
      <c r="J70" s="7">
        <v>0.24862564284447597</v>
      </c>
      <c r="K70" s="7">
        <v>0.43743547387982651</v>
      </c>
    </row>
    <row r="71" spans="1:11">
      <c r="A71" s="6">
        <v>0.69000000000000039</v>
      </c>
      <c r="B71" s="7">
        <v>0.55626677679124514</v>
      </c>
      <c r="C71" s="7">
        <v>0.1282263060086723</v>
      </c>
      <c r="D71" s="7">
        <v>0.98430724757381793</v>
      </c>
      <c r="E71" s="7">
        <v>1.5692752426182066E-2</v>
      </c>
      <c r="F71" s="7">
        <v>0.87177369399132765</v>
      </c>
      <c r="G71" s="7">
        <v>0.11253355358249029</v>
      </c>
      <c r="H71" s="7">
        <v>0.10903873744619799</v>
      </c>
      <c r="I71" s="7">
        <v>0.40689293670554316</v>
      </c>
      <c r="J71" s="7">
        <v>0.22418772563176895</v>
      </c>
      <c r="K71" s="7">
        <v>0.44373322320875486</v>
      </c>
    </row>
    <row r="72" spans="1:11">
      <c r="A72" s="6">
        <v>0.7000000000000004</v>
      </c>
      <c r="B72" s="7">
        <v>0.5493495767086517</v>
      </c>
      <c r="C72" s="7">
        <v>0.11067520132149494</v>
      </c>
      <c r="D72" s="7">
        <v>0.9880239520958084</v>
      </c>
      <c r="E72" s="7">
        <v>1.19760479041916E-2</v>
      </c>
      <c r="F72" s="7">
        <v>0.88932479867850511</v>
      </c>
      <c r="G72" s="7">
        <v>9.8699153417303287E-2</v>
      </c>
      <c r="H72" s="7">
        <v>9.7643097643097643E-2</v>
      </c>
      <c r="I72" s="7">
        <v>0.37124255437041143</v>
      </c>
      <c r="J72" s="7">
        <v>0.19716755563729998</v>
      </c>
      <c r="K72" s="7">
        <v>0.4506504232913483</v>
      </c>
    </row>
    <row r="73" spans="1:11">
      <c r="A73" s="6">
        <v>0.71000000000000041</v>
      </c>
      <c r="B73" s="7">
        <v>0.54387776171794344</v>
      </c>
      <c r="C73" s="7">
        <v>9.6014866818087963E-2</v>
      </c>
      <c r="D73" s="7">
        <v>0.99174065661779887</v>
      </c>
      <c r="E73" s="7">
        <v>8.2593433822011342E-3</v>
      </c>
      <c r="F73" s="7">
        <v>0.90398513318191209</v>
      </c>
      <c r="G73" s="7">
        <v>8.7755523435886884E-2</v>
      </c>
      <c r="H73" s="7">
        <v>7.9207920792079209E-2</v>
      </c>
      <c r="I73" s="7">
        <v>0.33877313128369518</v>
      </c>
      <c r="J73" s="7">
        <v>0.17389678384442783</v>
      </c>
      <c r="K73" s="7">
        <v>0.45612223828205656</v>
      </c>
    </row>
    <row r="74" spans="1:11">
      <c r="A74" s="6">
        <v>0.72000000000000042</v>
      </c>
      <c r="B74" s="7">
        <v>0.53871567210406768</v>
      </c>
      <c r="C74" s="7">
        <v>8.3832335329341312E-2</v>
      </c>
      <c r="D74" s="7">
        <v>0.99359900887879415</v>
      </c>
      <c r="E74" s="7">
        <v>6.4009911212058457E-3</v>
      </c>
      <c r="F74" s="7">
        <v>0.91616766467065869</v>
      </c>
      <c r="G74" s="7">
        <v>7.7431344208135466E-2</v>
      </c>
      <c r="H74" s="7">
        <v>7.0938215102974822E-2</v>
      </c>
      <c r="I74" s="7">
        <v>0.30799575178273403</v>
      </c>
      <c r="J74" s="7">
        <v>0.15378787878787878</v>
      </c>
      <c r="K74" s="7">
        <v>0.46128432789593232</v>
      </c>
    </row>
    <row r="75" spans="1:11">
      <c r="A75" s="6">
        <v>0.73000000000000043</v>
      </c>
      <c r="B75" s="7">
        <v>0.53510220937435471</v>
      </c>
      <c r="C75" s="7">
        <v>7.4747057608920087E-2</v>
      </c>
      <c r="D75" s="7">
        <v>0.99545736113978933</v>
      </c>
      <c r="E75" s="7">
        <v>4.5426388602106682E-3</v>
      </c>
      <c r="F75" s="7">
        <v>0.92525294239107991</v>
      </c>
      <c r="G75" s="7">
        <v>7.0204418748709418E-2</v>
      </c>
      <c r="H75" s="7">
        <v>5.7291666666666664E-2</v>
      </c>
      <c r="I75" s="7">
        <v>0.28374353346919579</v>
      </c>
      <c r="J75" s="7">
        <v>0.13851157451693133</v>
      </c>
      <c r="K75" s="7">
        <v>0.46489779062564529</v>
      </c>
    </row>
    <row r="76" spans="1:11">
      <c r="A76" s="6">
        <v>0.74000000000000044</v>
      </c>
      <c r="B76" s="7">
        <v>0.53035308692958905</v>
      </c>
      <c r="C76" s="7">
        <v>6.4009911212058637E-2</v>
      </c>
      <c r="D76" s="7">
        <v>0.99669626264711952</v>
      </c>
      <c r="E76" s="7">
        <v>3.3037373528804759E-3</v>
      </c>
      <c r="F76" s="7">
        <v>0.93599008878794132</v>
      </c>
      <c r="G76" s="7">
        <v>6.0706173859178203E-2</v>
      </c>
      <c r="H76" s="7">
        <v>4.9079754601226995E-2</v>
      </c>
      <c r="I76" s="7">
        <v>0.25215552301935906</v>
      </c>
      <c r="J76" s="7">
        <v>0.11994583091507062</v>
      </c>
      <c r="K76" s="7">
        <v>0.46964691307041095</v>
      </c>
    </row>
    <row r="77" spans="1:11">
      <c r="A77" s="6">
        <v>0.75000000000000044</v>
      </c>
      <c r="B77" s="7">
        <v>0.52529423910799089</v>
      </c>
      <c r="C77" s="7">
        <v>5.2653314061532105E-2</v>
      </c>
      <c r="D77" s="7">
        <v>0.99793516415444972</v>
      </c>
      <c r="E77" s="7">
        <v>2.0648358455502835E-3</v>
      </c>
      <c r="F77" s="7">
        <v>0.94734668593846794</v>
      </c>
      <c r="G77" s="7">
        <v>5.058847821598178E-2</v>
      </c>
      <c r="H77" s="7">
        <v>3.7735849056603772E-2</v>
      </c>
      <c r="I77" s="7">
        <v>0.21599186854141961</v>
      </c>
      <c r="J77" s="7">
        <v>9.9843382928739233E-2</v>
      </c>
      <c r="K77" s="7">
        <v>0.47470576089200911</v>
      </c>
    </row>
    <row r="78" spans="1:11">
      <c r="A78" s="6">
        <v>0.76000000000000045</v>
      </c>
      <c r="B78" s="7">
        <v>0.52168077637827792</v>
      </c>
      <c r="C78" s="7">
        <v>4.4600454263886022E-2</v>
      </c>
      <c r="D78" s="7">
        <v>0.99876109849266981</v>
      </c>
      <c r="E78" s="7">
        <v>1.2389015073301923E-3</v>
      </c>
      <c r="F78" s="7">
        <v>0.95539954573611396</v>
      </c>
      <c r="G78" s="7">
        <v>4.3361552756555843E-2</v>
      </c>
      <c r="H78" s="7">
        <v>2.7027027027027029E-2</v>
      </c>
      <c r="I78" s="7">
        <v>0.18844878729715581</v>
      </c>
      <c r="J78" s="7">
        <v>8.5291214215202374E-2</v>
      </c>
      <c r="K78" s="7">
        <v>0.47831922362172208</v>
      </c>
    </row>
    <row r="79" spans="1:11">
      <c r="A79" s="6">
        <v>0.77000000000000046</v>
      </c>
      <c r="B79" s="7">
        <v>0.51755110468717735</v>
      </c>
      <c r="C79" s="7">
        <v>3.5928143712574849E-2</v>
      </c>
      <c r="D79" s="7">
        <v>0.99917406566177991</v>
      </c>
      <c r="E79" s="7">
        <v>8.2593433822009121E-4</v>
      </c>
      <c r="F79" s="7">
        <v>0.9640718562874252</v>
      </c>
      <c r="G79" s="7">
        <v>3.5102209374354709E-2</v>
      </c>
      <c r="H79" s="7">
        <v>2.247191011235955E-2</v>
      </c>
      <c r="I79" s="7">
        <v>0.15661566156615661</v>
      </c>
      <c r="J79" s="7">
        <v>6.9308902609042017E-2</v>
      </c>
      <c r="K79" s="7">
        <v>0.48244889531282265</v>
      </c>
    </row>
    <row r="80" spans="1:11">
      <c r="A80" s="6">
        <v>0.78000000000000047</v>
      </c>
      <c r="B80" s="7">
        <v>0.51362791658063189</v>
      </c>
      <c r="C80" s="7">
        <v>2.7875283914928762E-2</v>
      </c>
      <c r="D80" s="7">
        <v>0.9993805492463349</v>
      </c>
      <c r="E80" s="7">
        <v>6.1945075366509617E-4</v>
      </c>
      <c r="F80" s="7">
        <v>0.97212471608507123</v>
      </c>
      <c r="G80" s="7">
        <v>2.7255833161263676E-2</v>
      </c>
      <c r="H80" s="7">
        <v>2.1739130434782608E-2</v>
      </c>
      <c r="I80" s="7">
        <v>0.12511584800741427</v>
      </c>
      <c r="J80" s="7">
        <v>5.4205982734390687E-2</v>
      </c>
      <c r="K80" s="7">
        <v>0.48637208341936811</v>
      </c>
    </row>
    <row r="81" spans="1:11">
      <c r="A81" s="6">
        <v>0.79000000000000048</v>
      </c>
      <c r="B81" s="7">
        <v>0.51063390460458391</v>
      </c>
      <c r="C81" s="7">
        <v>2.1680776378277925E-2</v>
      </c>
      <c r="D81" s="7">
        <v>0.9995870328308899</v>
      </c>
      <c r="E81" s="7">
        <v>4.1296716911010112E-4</v>
      </c>
      <c r="F81" s="7">
        <v>0.97831922362172208</v>
      </c>
      <c r="G81" s="7">
        <v>2.1267809209167821E-2</v>
      </c>
      <c r="H81" s="7">
        <v>1.8691588785046728E-2</v>
      </c>
      <c r="I81" s="7">
        <v>9.9601593625498003E-2</v>
      </c>
      <c r="J81" s="7">
        <v>4.2424242424242427E-2</v>
      </c>
      <c r="K81" s="7">
        <v>0.48936609539541609</v>
      </c>
    </row>
    <row r="82" spans="1:11">
      <c r="A82" s="6">
        <v>0.80000000000000049</v>
      </c>
      <c r="B82" s="7">
        <v>0.50784637621309103</v>
      </c>
      <c r="C82" s="7">
        <v>1.5899236010737148E-2</v>
      </c>
      <c r="D82" s="7">
        <v>0.999793516415445</v>
      </c>
      <c r="E82" s="7">
        <v>2.0648358455499505E-4</v>
      </c>
      <c r="F82" s="7">
        <v>0.98410076398926283</v>
      </c>
      <c r="G82" s="7">
        <v>1.5692752426182177E-2</v>
      </c>
      <c r="H82" s="7">
        <v>1.282051282051282E-2</v>
      </c>
      <c r="I82" s="7">
        <v>7.4684772065955377E-2</v>
      </c>
      <c r="J82" s="7">
        <v>3.1294452347083924E-2</v>
      </c>
      <c r="K82" s="7">
        <v>0.49215362378690897</v>
      </c>
    </row>
    <row r="83" spans="1:11">
      <c r="A83" s="6">
        <v>0.8100000000000005</v>
      </c>
      <c r="B83" s="7">
        <v>0.50557505678298575</v>
      </c>
      <c r="C83" s="7">
        <v>1.1356597150526533E-2</v>
      </c>
      <c r="D83" s="7">
        <v>0.999793516415445</v>
      </c>
      <c r="E83" s="7">
        <v>2.0648358455499505E-4</v>
      </c>
      <c r="F83" s="7">
        <v>0.9886434028494735</v>
      </c>
      <c r="G83" s="7">
        <v>1.1150113565971509E-2</v>
      </c>
      <c r="H83" s="7">
        <v>1.7857142857142856E-2</v>
      </c>
      <c r="I83" s="7">
        <v>5.4272745214130648E-2</v>
      </c>
      <c r="J83" s="7">
        <v>2.2453561951418656E-2</v>
      </c>
      <c r="K83" s="7">
        <v>0.49442494321701425</v>
      </c>
    </row>
    <row r="84" spans="1:11">
      <c r="A84" s="6">
        <v>0.82000000000000051</v>
      </c>
      <c r="B84" s="7">
        <v>0.50423291348337806</v>
      </c>
      <c r="C84" s="7">
        <v>8.6723105513111711E-3</v>
      </c>
      <c r="D84" s="7">
        <v>0.999793516415445</v>
      </c>
      <c r="E84" s="7">
        <v>2.0648358455499505E-4</v>
      </c>
      <c r="F84" s="7">
        <v>0.99132768944868888</v>
      </c>
      <c r="G84" s="7">
        <v>8.4658269667561292E-3</v>
      </c>
      <c r="H84" s="7">
        <v>2.3255813953488372E-2</v>
      </c>
      <c r="I84" s="7">
        <v>4.1874376869391827E-2</v>
      </c>
      <c r="J84" s="7">
        <v>1.7191977077363897E-2</v>
      </c>
      <c r="K84" s="7">
        <v>0.49576708651662194</v>
      </c>
    </row>
    <row r="85" spans="1:11">
      <c r="A85" s="6">
        <v>0.83000000000000052</v>
      </c>
      <c r="B85" s="7">
        <v>0.50309725376832537</v>
      </c>
      <c r="C85" s="7">
        <v>6.1945075366508359E-3</v>
      </c>
      <c r="D85" s="7">
        <v>1</v>
      </c>
      <c r="E85" s="7">
        <v>0</v>
      </c>
      <c r="F85" s="7">
        <v>0.99380549246334915</v>
      </c>
      <c r="G85" s="7">
        <v>6.1945075366508506E-3</v>
      </c>
      <c r="H85" s="7">
        <v>0</v>
      </c>
      <c r="I85" s="7">
        <v>3.0223655047350393E-2</v>
      </c>
      <c r="J85" s="7">
        <v>1.2312743689718859E-2</v>
      </c>
      <c r="K85" s="7">
        <v>0.49690274623167463</v>
      </c>
    </row>
    <row r="86" spans="1:11">
      <c r="A86" s="6">
        <v>0.84000000000000052</v>
      </c>
      <c r="B86" s="7">
        <v>0.50237456122238278</v>
      </c>
      <c r="C86" s="7">
        <v>4.7491224447656407E-3</v>
      </c>
      <c r="D86" s="7">
        <v>1</v>
      </c>
      <c r="E86" s="7">
        <v>0</v>
      </c>
      <c r="F86" s="7">
        <v>0.99525087755523434</v>
      </c>
      <c r="G86" s="7">
        <v>4.7491224447656633E-3</v>
      </c>
      <c r="H86" s="7">
        <v>0</v>
      </c>
      <c r="I86" s="7">
        <v>2.3302938196555219E-2</v>
      </c>
      <c r="J86" s="7">
        <v>9.4533497739416363E-3</v>
      </c>
      <c r="K86" s="7">
        <v>0.49762543877761722</v>
      </c>
    </row>
    <row r="87" spans="1:11">
      <c r="A87" s="6">
        <v>0.85000000000000053</v>
      </c>
      <c r="B87" s="7">
        <v>0.50144538509188519</v>
      </c>
      <c r="C87" s="7">
        <v>2.8907701837703904E-3</v>
      </c>
      <c r="D87" s="7">
        <v>1</v>
      </c>
      <c r="E87" s="7">
        <v>0</v>
      </c>
      <c r="F87" s="7">
        <v>0.99710922981622963</v>
      </c>
      <c r="G87" s="7">
        <v>2.8907701837703748E-3</v>
      </c>
      <c r="H87" s="7">
        <v>0</v>
      </c>
      <c r="I87" s="7">
        <v>1.4288630332720964E-2</v>
      </c>
      <c r="J87" s="7">
        <v>5.764875437512868E-3</v>
      </c>
      <c r="K87" s="7">
        <v>0.49855461490811481</v>
      </c>
    </row>
    <row r="88" spans="1:11">
      <c r="A88" s="6">
        <v>0.86000000000000054</v>
      </c>
      <c r="B88" s="7">
        <v>0.5004129671691101</v>
      </c>
      <c r="C88" s="7">
        <v>8.2593433822011149E-4</v>
      </c>
      <c r="D88" s="7">
        <v>1</v>
      </c>
      <c r="E88" s="7">
        <v>0</v>
      </c>
      <c r="F88" s="7">
        <v>0.99917406566177991</v>
      </c>
      <c r="G88" s="7">
        <v>8.2593433822009121E-4</v>
      </c>
      <c r="H88" s="7">
        <v>0</v>
      </c>
      <c r="I88" s="7">
        <v>4.1160732661041366E-3</v>
      </c>
      <c r="J88" s="7">
        <v>1.6505054672993605E-3</v>
      </c>
      <c r="K88" s="7">
        <v>0.4995870328308899</v>
      </c>
    </row>
    <row r="89" spans="1:11">
      <c r="A89" s="6">
        <v>0.87000000000000055</v>
      </c>
      <c r="B89" s="7">
        <v>0.5001032417922775</v>
      </c>
      <c r="C89" s="7">
        <v>2.0648358455502787E-4</v>
      </c>
      <c r="D89" s="7">
        <v>1</v>
      </c>
      <c r="E89" s="7">
        <v>0</v>
      </c>
      <c r="F89" s="7">
        <v>0.999793516415445</v>
      </c>
      <c r="G89" s="7">
        <v>2.0648358455499505E-4</v>
      </c>
      <c r="H89" s="7">
        <v>0</v>
      </c>
      <c r="I89" s="7">
        <v>1.0315659170621002E-3</v>
      </c>
      <c r="J89" s="7">
        <v>4.1288191577208916E-4</v>
      </c>
      <c r="K89" s="7">
        <v>0.4998967582077225</v>
      </c>
    </row>
    <row r="90" spans="1:11">
      <c r="A90" s="6">
        <v>0.88000000000000056</v>
      </c>
      <c r="B90" s="7">
        <v>0.5</v>
      </c>
      <c r="C90" s="7">
        <v>0</v>
      </c>
      <c r="D90" s="7">
        <v>1</v>
      </c>
      <c r="E90" s="7">
        <v>0</v>
      </c>
      <c r="F90" s="7">
        <v>1</v>
      </c>
      <c r="G90" s="7">
        <v>0</v>
      </c>
      <c r="I90" s="7">
        <v>0</v>
      </c>
      <c r="J90" s="7">
        <v>0</v>
      </c>
      <c r="K90" s="7">
        <v>0.5</v>
      </c>
    </row>
    <row r="91" spans="1:11">
      <c r="A91" s="6">
        <v>0.89000000000000057</v>
      </c>
      <c r="B91" s="7">
        <v>0.5</v>
      </c>
      <c r="C91" s="7">
        <v>0</v>
      </c>
      <c r="D91" s="7">
        <v>1</v>
      </c>
      <c r="E91" s="7">
        <v>0</v>
      </c>
      <c r="F91" s="7">
        <v>1</v>
      </c>
      <c r="G91" s="7">
        <v>0</v>
      </c>
      <c r="I91" s="7">
        <v>0</v>
      </c>
      <c r="J91" s="7">
        <v>0</v>
      </c>
      <c r="K91" s="7">
        <v>0.5</v>
      </c>
    </row>
    <row r="92" spans="1:11">
      <c r="A92" s="6">
        <v>0.90000000000000058</v>
      </c>
      <c r="B92" s="7">
        <v>0.5</v>
      </c>
      <c r="C92" s="7">
        <v>0</v>
      </c>
      <c r="D92" s="7">
        <v>1</v>
      </c>
      <c r="E92" s="7">
        <v>0</v>
      </c>
      <c r="F92" s="7">
        <v>1</v>
      </c>
      <c r="G92" s="7">
        <v>0</v>
      </c>
      <c r="I92" s="7">
        <v>0</v>
      </c>
      <c r="J92" s="7">
        <v>0</v>
      </c>
      <c r="K92" s="7">
        <v>0.5</v>
      </c>
    </row>
    <row r="93" spans="1:11">
      <c r="A93" s="6">
        <v>0.91000000000000059</v>
      </c>
      <c r="B93" s="7">
        <v>0.5</v>
      </c>
      <c r="C93" s="7">
        <v>0</v>
      </c>
      <c r="D93" s="7">
        <v>1</v>
      </c>
      <c r="E93" s="7">
        <v>0</v>
      </c>
      <c r="F93" s="7">
        <v>1</v>
      </c>
      <c r="G93" s="7">
        <v>0</v>
      </c>
      <c r="I93" s="7">
        <v>0</v>
      </c>
      <c r="J93" s="7">
        <v>0</v>
      </c>
      <c r="K93" s="7">
        <v>0.5</v>
      </c>
    </row>
    <row r="94" spans="1:11">
      <c r="A94" s="6">
        <v>0.9200000000000006</v>
      </c>
      <c r="B94" s="7">
        <v>0.5</v>
      </c>
      <c r="C94" s="7">
        <v>0</v>
      </c>
      <c r="D94" s="7">
        <v>1</v>
      </c>
      <c r="E94" s="7">
        <v>0</v>
      </c>
      <c r="F94" s="7">
        <v>1</v>
      </c>
      <c r="G94" s="7">
        <v>0</v>
      </c>
      <c r="I94" s="7">
        <v>0</v>
      </c>
      <c r="J94" s="7">
        <v>0</v>
      </c>
      <c r="K94" s="7">
        <v>0.5</v>
      </c>
    </row>
    <row r="95" spans="1:11">
      <c r="A95" s="6">
        <v>0.9300000000000006</v>
      </c>
      <c r="B95" s="7">
        <v>0.5</v>
      </c>
      <c r="C95" s="7">
        <v>0</v>
      </c>
      <c r="D95" s="7">
        <v>1</v>
      </c>
      <c r="E95" s="7">
        <v>0</v>
      </c>
      <c r="F95" s="7">
        <v>1</v>
      </c>
      <c r="G95" s="7">
        <v>0</v>
      </c>
      <c r="I95" s="7">
        <v>0</v>
      </c>
      <c r="J95" s="7">
        <v>0</v>
      </c>
      <c r="K95" s="7">
        <v>0.5</v>
      </c>
    </row>
    <row r="96" spans="1:11">
      <c r="A96" s="6">
        <v>0.94000000000000061</v>
      </c>
      <c r="B96" s="7">
        <v>0.5</v>
      </c>
      <c r="C96" s="7">
        <v>0</v>
      </c>
      <c r="D96" s="7">
        <v>1</v>
      </c>
      <c r="E96" s="7">
        <v>0</v>
      </c>
      <c r="F96" s="7">
        <v>1</v>
      </c>
      <c r="G96" s="7">
        <v>0</v>
      </c>
      <c r="I96" s="7">
        <v>0</v>
      </c>
      <c r="J96" s="7">
        <v>0</v>
      </c>
      <c r="K96" s="7">
        <v>0.5</v>
      </c>
    </row>
    <row r="97" spans="1:11">
      <c r="A97" s="6">
        <v>0.95000000000000062</v>
      </c>
      <c r="B97" s="7">
        <v>0.5</v>
      </c>
      <c r="C97" s="7">
        <v>0</v>
      </c>
      <c r="D97" s="7">
        <v>1</v>
      </c>
      <c r="E97" s="7">
        <v>0</v>
      </c>
      <c r="F97" s="7">
        <v>1</v>
      </c>
      <c r="G97" s="7">
        <v>0</v>
      </c>
      <c r="I97" s="7">
        <v>0</v>
      </c>
      <c r="J97" s="7">
        <v>0</v>
      </c>
      <c r="K97" s="7">
        <v>0.5</v>
      </c>
    </row>
    <row r="98" spans="1:11">
      <c r="A98" s="6">
        <v>0.96000000000000063</v>
      </c>
      <c r="B98" s="7">
        <v>0.5</v>
      </c>
      <c r="C98" s="7">
        <v>0</v>
      </c>
      <c r="D98" s="7">
        <v>1</v>
      </c>
      <c r="E98" s="7">
        <v>0</v>
      </c>
      <c r="F98" s="7">
        <v>1</v>
      </c>
      <c r="G98" s="7">
        <v>0</v>
      </c>
      <c r="I98" s="7">
        <v>0</v>
      </c>
      <c r="J98" s="7">
        <v>0</v>
      </c>
      <c r="K98" s="7">
        <v>0.5</v>
      </c>
    </row>
    <row r="99" spans="1:11">
      <c r="A99" s="6">
        <v>0.97000000000000064</v>
      </c>
      <c r="B99" s="7">
        <v>0.5</v>
      </c>
      <c r="C99" s="7">
        <v>0</v>
      </c>
      <c r="D99" s="7">
        <v>1</v>
      </c>
      <c r="E99" s="7">
        <v>0</v>
      </c>
      <c r="F99" s="7">
        <v>1</v>
      </c>
      <c r="G99" s="7">
        <v>0</v>
      </c>
      <c r="I99" s="7">
        <v>0</v>
      </c>
      <c r="J99" s="7">
        <v>0</v>
      </c>
      <c r="K99" s="7">
        <v>0.5</v>
      </c>
    </row>
    <row r="100" spans="1:11">
      <c r="A100" s="6">
        <v>0.98000000000000065</v>
      </c>
      <c r="B100" s="7">
        <v>0.5</v>
      </c>
      <c r="C100" s="7">
        <v>0</v>
      </c>
      <c r="D100" s="7">
        <v>1</v>
      </c>
      <c r="E100" s="7">
        <v>0</v>
      </c>
      <c r="F100" s="7">
        <v>1</v>
      </c>
      <c r="G100" s="7">
        <v>0</v>
      </c>
      <c r="I100" s="7">
        <v>0</v>
      </c>
      <c r="J100" s="7">
        <v>0</v>
      </c>
      <c r="K100" s="7">
        <v>0.5</v>
      </c>
    </row>
    <row r="101" spans="1:11">
      <c r="A101" s="6">
        <v>0.99000000000000066</v>
      </c>
      <c r="B101" s="7">
        <v>0.5</v>
      </c>
      <c r="C101" s="7">
        <v>0</v>
      </c>
      <c r="D101" s="7">
        <v>1</v>
      </c>
      <c r="E101" s="7">
        <v>0</v>
      </c>
      <c r="F101" s="7">
        <v>1</v>
      </c>
      <c r="G101" s="7">
        <v>0</v>
      </c>
      <c r="I101" s="7">
        <v>0</v>
      </c>
      <c r="J101" s="7">
        <v>0</v>
      </c>
      <c r="K101" s="7">
        <v>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workbookViewId="0"/>
  </sheetViews>
  <sheetFormatPr defaultRowHeight="15"/>
  <cols>
    <col min="1" max="1" width="9" bestFit="1" customWidth="1"/>
    <col min="2" max="2" width="11.42578125" bestFit="1" customWidth="1"/>
    <col min="3" max="3" width="7" bestFit="1" customWidth="1"/>
    <col min="4" max="4" width="13.140625" bestFit="1" customWidth="1"/>
  </cols>
  <sheetData>
    <row r="1" spans="1:4">
      <c r="A1" s="2" t="s">
        <v>58</v>
      </c>
      <c r="B1" s="2" t="s">
        <v>59</v>
      </c>
      <c r="C1" s="2" t="s">
        <v>60</v>
      </c>
      <c r="D1" s="2" t="s">
        <v>32</v>
      </c>
    </row>
    <row r="2" spans="1:4">
      <c r="A2" t="s">
        <v>61</v>
      </c>
      <c r="B2" t="s">
        <v>35</v>
      </c>
      <c r="C2" t="s">
        <v>62</v>
      </c>
      <c r="D2" s="4">
        <v>34507</v>
      </c>
    </row>
    <row r="3" spans="1:4">
      <c r="A3" t="s">
        <v>63</v>
      </c>
      <c r="B3" t="s">
        <v>35</v>
      </c>
      <c r="C3" t="s">
        <v>64</v>
      </c>
      <c r="D3" s="4">
        <v>18766</v>
      </c>
    </row>
    <row r="4" spans="1:4">
      <c r="A4" t="s">
        <v>61</v>
      </c>
      <c r="B4" t="s">
        <v>34</v>
      </c>
      <c r="C4" t="s">
        <v>65</v>
      </c>
      <c r="D4" s="4">
        <v>37158</v>
      </c>
    </row>
    <row r="5" spans="1:4">
      <c r="A5" t="s">
        <v>63</v>
      </c>
      <c r="B5" t="s">
        <v>34</v>
      </c>
      <c r="C5" t="s">
        <v>66</v>
      </c>
      <c r="D5" s="4">
        <v>16115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
  <sheetViews>
    <sheetView workbookViewId="0"/>
  </sheetViews>
  <sheetFormatPr defaultRowHeight="15"/>
  <cols>
    <col min="1" max="1" width="12.28515625" bestFit="1" customWidth="1"/>
    <col min="2" max="2" width="30.28515625" bestFit="1" customWidth="1"/>
    <col min="3" max="3" width="42.7109375" bestFit="1" customWidth="1"/>
    <col min="4" max="4" width="12.7109375" bestFit="1" customWidth="1"/>
    <col min="5" max="5" width="20.140625" bestFit="1" customWidth="1"/>
    <col min="6" max="6" width="27.85546875" bestFit="1" customWidth="1"/>
    <col min="7" max="7" width="9" bestFit="1" customWidth="1"/>
    <col min="8" max="8" width="4" bestFit="1" customWidth="1"/>
    <col min="9" max="9" width="11.28515625" bestFit="1" customWidth="1"/>
    <col min="10" max="10" width="23" bestFit="1" customWidth="1"/>
    <col min="11" max="11" width="17.7109375" bestFit="1" customWidth="1"/>
    <col min="12" max="12" width="5.28515625" bestFit="1" customWidth="1"/>
    <col min="13" max="13" width="4.7109375" bestFit="1" customWidth="1"/>
    <col min="14" max="14" width="8.28515625" bestFit="1" customWidth="1"/>
    <col min="15" max="15" width="4.42578125" bestFit="1" customWidth="1"/>
    <col min="16" max="16" width="21.28515625" bestFit="1" customWidth="1"/>
    <col min="17" max="17" width="12.85546875" bestFit="1" customWidth="1"/>
  </cols>
  <sheetData>
    <row r="1" spans="1:17">
      <c r="A1" s="2" t="s">
        <v>46</v>
      </c>
      <c r="B1" s="2" t="s">
        <v>29</v>
      </c>
      <c r="C1" s="2" t="s">
        <v>57</v>
      </c>
      <c r="D1" s="2" t="s">
        <v>67</v>
      </c>
      <c r="E1" s="2" t="s">
        <v>51</v>
      </c>
      <c r="F1" s="2" t="s">
        <v>54</v>
      </c>
      <c r="G1" s="2" t="s">
        <v>56</v>
      </c>
      <c r="H1" s="2" t="s">
        <v>68</v>
      </c>
      <c r="I1" s="2" t="s">
        <v>69</v>
      </c>
      <c r="J1" s="2" t="s">
        <v>70</v>
      </c>
      <c r="K1" s="2" t="s">
        <v>71</v>
      </c>
      <c r="L1" s="2" t="s">
        <v>72</v>
      </c>
      <c r="M1" s="2" t="s">
        <v>73</v>
      </c>
      <c r="N1" s="2" t="s">
        <v>74</v>
      </c>
      <c r="O1" s="2" t="s">
        <v>75</v>
      </c>
      <c r="P1" s="2" t="s">
        <v>76</v>
      </c>
      <c r="Q1" s="2" t="s">
        <v>77</v>
      </c>
    </row>
    <row r="2" spans="1:17">
      <c r="A2" s="3">
        <v>0.34524055337600668</v>
      </c>
      <c r="B2" s="3">
        <v>0.32737972331199672</v>
      </c>
      <c r="C2" s="3">
        <v>0.32737972331199672</v>
      </c>
      <c r="D2" s="9">
        <v>0.73727006104418791</v>
      </c>
      <c r="E2" s="9">
        <v>0.30249845137311582</v>
      </c>
      <c r="F2" s="9">
        <v>0.31833985223815731</v>
      </c>
      <c r="G2" s="9">
        <v>0.66426680783483327</v>
      </c>
      <c r="H2" s="9">
        <v>1.8433352730276125</v>
      </c>
      <c r="I2" s="9">
        <v>1.8433352730276125</v>
      </c>
      <c r="J2" s="9">
        <v>92.154654654654649</v>
      </c>
      <c r="K2" s="9">
        <v>9.2166763651380634</v>
      </c>
      <c r="L2" s="9">
        <v>0.84333527302761224</v>
      </c>
      <c r="M2" s="9">
        <v>0.47454012208837576</v>
      </c>
      <c r="N2" s="9">
        <v>0.48472926089816115</v>
      </c>
      <c r="O2" s="9">
        <v>0.23727228799112152</v>
      </c>
      <c r="P2" s="4">
        <v>106546</v>
      </c>
      <c r="Q2" s="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heetViews>
  <sheetFormatPr defaultRowHeight="15"/>
  <cols>
    <col min="1" max="1" width="7.7109375" bestFit="1" customWidth="1"/>
    <col min="2" max="2" width="9.5703125" bestFit="1" customWidth="1"/>
  </cols>
  <sheetData>
    <row r="1" spans="1:2">
      <c r="A1" s="2" t="s">
        <v>78</v>
      </c>
      <c r="B1" s="2" t="s">
        <v>79</v>
      </c>
    </row>
    <row r="2" spans="1:2">
      <c r="A2" t="s">
        <v>80</v>
      </c>
      <c r="B2" t="s">
        <v>81</v>
      </c>
    </row>
    <row r="3" spans="1:2">
      <c r="A3" t="s">
        <v>68</v>
      </c>
      <c r="B3" t="s">
        <v>82</v>
      </c>
    </row>
    <row r="4" spans="1:2">
      <c r="A4" t="s">
        <v>69</v>
      </c>
      <c r="B4" t="s">
        <v>83</v>
      </c>
    </row>
    <row r="5" spans="1:2">
      <c r="A5" t="s">
        <v>84</v>
      </c>
      <c r="B5" t="s">
        <v>85</v>
      </c>
    </row>
    <row r="6" spans="1:2">
      <c r="A6" t="s">
        <v>43</v>
      </c>
      <c r="B6" t="s">
        <v>86</v>
      </c>
    </row>
    <row r="7" spans="1:2">
      <c r="A7" t="s">
        <v>87</v>
      </c>
      <c r="B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Stevie Mobue me efangon</cp:lastModifiedBy>
  <cp:revision/>
  <dcterms:created xsi:type="dcterms:W3CDTF">2025-10-23T08:50:51Z</dcterms:created>
  <dcterms:modified xsi:type="dcterms:W3CDTF">2025-10-23T09:02:34Z</dcterms:modified>
  <cp:category/>
  <cp:contentStatus/>
</cp:coreProperties>
</file>